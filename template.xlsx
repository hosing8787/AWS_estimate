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cccorp.sharepoint.com/sites/SKCC.TF.72/Shared Documents/General/04. 개인 폴더/안소정M/SK렌터카/54_SKR 26년 경매, 공매 Infra 환경 구축/견적서/"/>
    </mc:Choice>
  </mc:AlternateContent>
  <xr:revisionPtr revIDLastSave="55" documentId="8_{306EE423-EF77-4E11-B694-E0517980DD40}" xr6:coauthVersionLast="47" xr6:coauthVersionMax="47" xr10:uidLastSave="{2877F12B-ECDD-4801-95A6-4CB207D73F41}"/>
  <bookViews>
    <workbookView xWindow="-120" yWindow="-120" windowWidth="29040" windowHeight="15720" tabRatio="875" xr2:uid="{00000000-000D-0000-FFFF-FFFF00000000}"/>
  </bookViews>
  <sheets>
    <sheet name="매출견적서" sheetId="20" r:id="rId1"/>
    <sheet name="Azure Resource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___kwy1" hidden="1">{#N/A,#N/A,FALSE,"ALM-ASISC"}</definedName>
    <definedName name="___ARC2">{"'Desktop Inventory 현황'!$B$2:$O$35"}</definedName>
    <definedName name="___kwy1" localSheetId="0" hidden="1">{#N/A,#N/A,FALSE,"ALM-ASISC"}</definedName>
    <definedName name="___kwy1" hidden="1">{#N/A,#N/A,FALSE,"ALM-ASISC"}</definedName>
    <definedName name="___xlfn.BAHTTEXT" hidden="1">#NAME?</definedName>
    <definedName name="__ARC2" hidden="1">{"'Desktop Inventory 현황'!$B$2:$O$35"}</definedName>
    <definedName name="__kwy1" hidden="1">{#N/A,#N/A,FALSE,"ALM-ASISC"}</definedName>
    <definedName name="__wte1" hidden="1">{#N/A,#N/A,FALSE,"ALM-ASISC"}</definedName>
    <definedName name="__xlfn.BAHTTEXT" hidden="1">#NAME?</definedName>
    <definedName name="__yr2000">#REF!</definedName>
    <definedName name="__yr2001">#REF!</definedName>
    <definedName name="_98년운영비">[1]기준정보!$B$6</definedName>
    <definedName name="_AAA2">#REF!</definedName>
    <definedName name="_aaa3">#REF!</definedName>
    <definedName name="_ARC2" localSheetId="0" hidden="1">{"'Desktop Inventory 현황'!$B$2:$O$35"}</definedName>
    <definedName name="_ARC2" hidden="1">{"'Desktop Inventory 현황'!$B$2:$O$35"}</definedName>
    <definedName name="_JCH26">[2]이름표!$B$7</definedName>
    <definedName name="_JCH32">[2]이름표!$B$8</definedName>
    <definedName name="_JCH4">[2]이름표!$B$5</definedName>
    <definedName name="_JCH7">[2]이름표!$B$6</definedName>
    <definedName name="_Key1" hidden="1">#REF!</definedName>
    <definedName name="_Key2" hidden="1">[3]상품입고집계!#REF!</definedName>
    <definedName name="_kwy1" hidden="1">{#N/A,#N/A,FALSE,"ALM-ASISC"}</definedName>
    <definedName name="_NTA1">#REF!</definedName>
    <definedName name="_NTA2">#REF!</definedName>
    <definedName name="_NTA3">#REF!</definedName>
    <definedName name="_NTB1">[4]NT운영단가표!$D$5</definedName>
    <definedName name="_NTB2">[4]NT운영단가표!$D$6</definedName>
    <definedName name="_NTB3">[4]NT운영단가표!$D$7</definedName>
    <definedName name="_NTC1">[4]NT운영단가표!$D$8</definedName>
    <definedName name="_NTC2">[4]NT운영단가표!$D$9</definedName>
    <definedName name="_NTC3">[4]NT운영단가표!$D$10</definedName>
    <definedName name="_NTD1">[4]NT운영단가표!$D$11</definedName>
    <definedName name="_NTD2">[4]NT운영단가표!$D$12</definedName>
    <definedName name="_NTD3">[4]NT운영단가표!$D$13</definedName>
    <definedName name="_NTE11">[4]NT운영단가표!$D$14</definedName>
    <definedName name="_NTE12">[4]NT운영단가표!$E$14</definedName>
    <definedName name="_NTE13">[4]NT운영단가표!$F$14</definedName>
    <definedName name="_NTE21">[4]NT운영단가표!$D$15</definedName>
    <definedName name="_NTE22">[4]NT운영단가표!$E$15</definedName>
    <definedName name="_NTE23">[4]NT운영단가표!$F$15</definedName>
    <definedName name="_NTE31">[4]NT운영단가표!$D$16</definedName>
    <definedName name="_NTE32">[4]NT운영단가표!$E$16</definedName>
    <definedName name="_NTE33">[4]NT운영단가표!$F$16</definedName>
    <definedName name="_NTF11">[4]NT운영단가표!$D$17</definedName>
    <definedName name="_NTF12">[4]NT운영단가표!$E$17</definedName>
    <definedName name="_NTF13">[4]NT운영단가표!$F$17</definedName>
    <definedName name="_NTF21">[4]NT운영단가표!$D$18</definedName>
    <definedName name="_NTF22">[4]NT운영단가표!$E$18</definedName>
    <definedName name="_NTF23">[4]NT운영단가표!$F$18</definedName>
    <definedName name="_NTF31">[4]NT운영단가표!$D$19</definedName>
    <definedName name="_NTF32">[4]NT운영단가표!$E$19</definedName>
    <definedName name="_NTF33">[4]NT운영단가표!$F$19</definedName>
    <definedName name="_NTG11">[4]NT운영단가표!$D$20</definedName>
    <definedName name="_NTG12">[4]NT운영단가표!$E$20</definedName>
    <definedName name="_NTG13">[4]NT운영단가표!$F$20</definedName>
    <definedName name="_NTG21">[4]NT운영단가표!$D$21</definedName>
    <definedName name="_NTG22">[4]NT운영단가표!$E$21</definedName>
    <definedName name="_NTG23">[4]NT운영단가표!$F$21</definedName>
    <definedName name="_NTG31">[4]NT운영단가표!$D$22</definedName>
    <definedName name="_NTG32">[4]NT운영단가표!$E$22</definedName>
    <definedName name="_NTG33">[4]NT운영단가표!$F$22</definedName>
    <definedName name="_NTH11">[4]NT운영단가표!$D$23</definedName>
    <definedName name="_NTH12">[4]NT운영단가표!$E$23</definedName>
    <definedName name="_NTH13">[4]NT운영단가표!$F$23</definedName>
    <definedName name="_NTH21">[4]NT운영단가표!$D$24</definedName>
    <definedName name="_NTH22">[4]NT운영단가표!$E$24</definedName>
    <definedName name="_NTH23">[4]NT운영단가표!$F$24</definedName>
    <definedName name="_NTH31">[4]NT운영단가표!$D$25</definedName>
    <definedName name="_NTH32">[4]NT운영단가표!$E$25</definedName>
    <definedName name="_NTH33">[4]NT운영단가표!$F$25</definedName>
    <definedName name="_NTI11">[4]NT운영단가표!$D$28</definedName>
    <definedName name="_NTI12">[4]NT운영단가표!$E$28</definedName>
    <definedName name="_NTI13">[4]NT운영단가표!$F$28</definedName>
    <definedName name="_NTI21">[4]NT운영단가표!$D$29</definedName>
    <definedName name="_NTI22">[4]NT운영단가표!$E$29</definedName>
    <definedName name="_NTI23">[4]NT운영단가표!$F$29</definedName>
    <definedName name="_NTI31">[4]NT운영단가표!$D$30</definedName>
    <definedName name="_NTI32">[4]NT운영단가표!$E$30</definedName>
    <definedName name="_NTI33">[4]NT운영단가표!$F$30</definedName>
    <definedName name="_NTJ11">[4]NT운영단가표!$D$31</definedName>
    <definedName name="_NTJ12">[4]NT운영단가표!$E$31</definedName>
    <definedName name="_NTJ13">[4]NT운영단가표!$F$31</definedName>
    <definedName name="_NTJ21">[4]NT운영단가표!$D$32</definedName>
    <definedName name="_NTJ22">[4]NT운영단가표!$E$32</definedName>
    <definedName name="_NTJ23">[4]NT운영단가표!$F$32</definedName>
    <definedName name="_NTJ31">[4]NT운영단가표!$D$33</definedName>
    <definedName name="_NTJ32">[4]NT운영단가표!$E$33</definedName>
    <definedName name="_NTJ33">[4]NT운영단가표!$F$33</definedName>
    <definedName name="_NTK12">[4]NT운영단가표!$E$34</definedName>
    <definedName name="_NTK13">[4]NT운영단가표!$F$34</definedName>
    <definedName name="_NTK22">[4]NT운영단가표!$E$35</definedName>
    <definedName name="_NTK23">[4]NT운영단가표!$F$35</definedName>
    <definedName name="_NTK32">[4]NT운영단가표!$E$36</definedName>
    <definedName name="_NTK33">[4]NT운영단가표!$F$36</definedName>
    <definedName name="_NTL11">[4]NT운영단가표!$D$37</definedName>
    <definedName name="_NTL12">[4]NT운영단가표!$E$37</definedName>
    <definedName name="_NTL13">[4]NT운영단가표!$F$37</definedName>
    <definedName name="_NTL21">[4]NT운영단가표!$D$38</definedName>
    <definedName name="_NTL22">[4]NT운영단가표!$E$38</definedName>
    <definedName name="_NTL23">[4]NT운영단가표!$F$38</definedName>
    <definedName name="_NTL31">[4]NT운영단가표!$D$39</definedName>
    <definedName name="_NTL32">[4]NT운영단가표!$E$39</definedName>
    <definedName name="_NTL33">[4]NT운영단가표!$F$39</definedName>
    <definedName name="_NTM11">[4]NT운영단가표!$D$40</definedName>
    <definedName name="_NTM12">[4]NT운영단가표!$E$40</definedName>
    <definedName name="_NTM13">[4]NT운영단가표!$F$40</definedName>
    <definedName name="_NTM21">[4]NT운영단가표!$D$41</definedName>
    <definedName name="_NTM22">[4]NT운영단가표!$E$41</definedName>
    <definedName name="_NTM23">[4]NT운영단가표!$F$41</definedName>
    <definedName name="_NTM31">[4]NT운영단가표!$D$42</definedName>
    <definedName name="_NTM32">[4]NT운영단가표!$E$42</definedName>
    <definedName name="_NTM33">[4]NT운영단가표!$F$42</definedName>
    <definedName name="_Order1" hidden="1">255</definedName>
    <definedName name="_Order2" hidden="1">255</definedName>
    <definedName name="_rt01">#REF!</definedName>
    <definedName name="_sem02">#REF!</definedName>
    <definedName name="_sem03">#REF!</definedName>
    <definedName name="_sem04">#REF!</definedName>
    <definedName name="_sem05">#REF!</definedName>
    <definedName name="_sem06">#REF!</definedName>
    <definedName name="_sem07">#REF!</definedName>
    <definedName name="_sm3">'[5]2003'!$D$50</definedName>
    <definedName name="_Sort" hidden="1">#REF!</definedName>
    <definedName name="_Table1_In1" hidden="1">#REF!</definedName>
    <definedName name="_Table1_Out" hidden="1">#REF!</definedName>
    <definedName name="_un11">#REF!</definedName>
    <definedName name="_un111">#REF!</definedName>
    <definedName name="_un112">#REF!</definedName>
    <definedName name="_un113">#REF!</definedName>
    <definedName name="_un114">#REF!</definedName>
    <definedName name="_un115">#REF!</definedName>
    <definedName name="_un12">#REF!</definedName>
    <definedName name="_un13">#REF!</definedName>
    <definedName name="_un14">#REF!</definedName>
    <definedName name="_un15">#REF!</definedName>
    <definedName name="_un21">#REF!</definedName>
    <definedName name="_un22">#REF!</definedName>
    <definedName name="_un23">#REF!</definedName>
    <definedName name="_un24">#REF!</definedName>
    <definedName name="_un25">#REF!</definedName>
    <definedName name="_un31">#REF!</definedName>
    <definedName name="_un32">#REF!</definedName>
    <definedName name="_un33">#REF!</definedName>
    <definedName name="_un34">#REF!</definedName>
    <definedName name="_un35">#REF!</definedName>
    <definedName name="_un41">#REF!</definedName>
    <definedName name="_un42">#REF!</definedName>
    <definedName name="_un43">#REF!</definedName>
    <definedName name="_un44">#REF!</definedName>
    <definedName name="_un45">#REF!</definedName>
    <definedName name="_unb101">#REF!</definedName>
    <definedName name="_unb102">#REF!</definedName>
    <definedName name="_unb103">#REF!</definedName>
    <definedName name="_unb104">#REF!</definedName>
    <definedName name="_unb105">#REF!</definedName>
    <definedName name="_unb121">#REF!</definedName>
    <definedName name="_unb122">#REF!</definedName>
    <definedName name="_unb123">#REF!</definedName>
    <definedName name="_unb124">#REF!</definedName>
    <definedName name="_unb125">#REF!</definedName>
    <definedName name="_unb131">#REF!</definedName>
    <definedName name="_unb132">#REF!</definedName>
    <definedName name="_unb133">#REF!</definedName>
    <definedName name="_unb134">#REF!</definedName>
    <definedName name="_unb135">#REF!</definedName>
    <definedName name="_unb51">#REF!</definedName>
    <definedName name="_unb52">#REF!</definedName>
    <definedName name="_unb53">#REF!</definedName>
    <definedName name="_unb54">#REF!</definedName>
    <definedName name="_unb55">#REF!</definedName>
    <definedName name="_unb61">#REF!</definedName>
    <definedName name="_unb62">#REF!</definedName>
    <definedName name="_unb63">#REF!</definedName>
    <definedName name="_unb64">#REF!</definedName>
    <definedName name="_unb65">#REF!</definedName>
    <definedName name="_unb71">#REF!</definedName>
    <definedName name="_unb72">#REF!</definedName>
    <definedName name="_unb73">#REF!</definedName>
    <definedName name="_unb74">#REF!</definedName>
    <definedName name="_unb75">#REF!</definedName>
    <definedName name="_unb81">#REF!</definedName>
    <definedName name="_unb82">#REF!</definedName>
    <definedName name="_unb83">#REF!</definedName>
    <definedName name="_unb84">#REF!</definedName>
    <definedName name="_unb85">#REF!</definedName>
    <definedName name="_unb91">#REF!</definedName>
    <definedName name="_unb92">#REF!</definedName>
    <definedName name="_unb93">#REF!</definedName>
    <definedName name="_unb94">#REF!</definedName>
    <definedName name="_unb95">#REF!</definedName>
    <definedName name="_ung101">#REF!</definedName>
    <definedName name="_ung102">#REF!</definedName>
    <definedName name="_ung103">#REF!</definedName>
    <definedName name="_ung104">#REF!</definedName>
    <definedName name="_ung105">#REF!</definedName>
    <definedName name="_ung121">#REF!</definedName>
    <definedName name="_ung122">#REF!</definedName>
    <definedName name="_ung123">#REF!</definedName>
    <definedName name="_ung124">#REF!</definedName>
    <definedName name="_ung125">#REF!</definedName>
    <definedName name="_ung131">#REF!</definedName>
    <definedName name="_ung132">#REF!</definedName>
    <definedName name="_ung133">#REF!</definedName>
    <definedName name="_ung134">#REF!</definedName>
    <definedName name="_ung135">#REF!</definedName>
    <definedName name="_ung51">#REF!</definedName>
    <definedName name="_ung52">#REF!</definedName>
    <definedName name="_ung53">#REF!</definedName>
    <definedName name="_ung54">#REF!</definedName>
    <definedName name="_ung55">#REF!</definedName>
    <definedName name="_ung61">#REF!</definedName>
    <definedName name="_ung62">#REF!</definedName>
    <definedName name="_ung63">#REF!</definedName>
    <definedName name="_ung64">#REF!</definedName>
    <definedName name="_ung65">#REF!</definedName>
    <definedName name="_ung71">#REF!</definedName>
    <definedName name="_ung72">#REF!</definedName>
    <definedName name="_ung73">#REF!</definedName>
    <definedName name="_ung74">#REF!</definedName>
    <definedName name="_ung75">#REF!</definedName>
    <definedName name="_ung81">#REF!</definedName>
    <definedName name="_ung82">#REF!</definedName>
    <definedName name="_ung83">#REF!</definedName>
    <definedName name="_ung84">#REF!</definedName>
    <definedName name="_ung85">#REF!</definedName>
    <definedName name="_ung91">#REF!</definedName>
    <definedName name="_ung92">#REF!</definedName>
    <definedName name="_ung93">#REF!</definedName>
    <definedName name="_ung94">#REF!</definedName>
    <definedName name="_ung95">#REF!</definedName>
    <definedName name="_uns101">#REF!</definedName>
    <definedName name="_uns102">#REF!</definedName>
    <definedName name="_uns103">#REF!</definedName>
    <definedName name="_uns104">#REF!</definedName>
    <definedName name="_uns105">#REF!</definedName>
    <definedName name="_uns121">#REF!</definedName>
    <definedName name="_uns122">#REF!</definedName>
    <definedName name="_uns123">#REF!</definedName>
    <definedName name="_uns124">#REF!</definedName>
    <definedName name="_uns125">#REF!</definedName>
    <definedName name="_uns131">#REF!</definedName>
    <definedName name="_uns132">#REF!</definedName>
    <definedName name="_uns133">#REF!</definedName>
    <definedName name="_uns134">#REF!</definedName>
    <definedName name="_uns135">#REF!</definedName>
    <definedName name="_uns51">#REF!</definedName>
    <definedName name="_uns52">#REF!</definedName>
    <definedName name="_uns53">#REF!</definedName>
    <definedName name="_uns54">#REF!</definedName>
    <definedName name="_uns55">#REF!</definedName>
    <definedName name="_uns61">#REF!</definedName>
    <definedName name="_uns62">#REF!</definedName>
    <definedName name="_uns63">#REF!</definedName>
    <definedName name="_uns64">#REF!</definedName>
    <definedName name="_uns65">#REF!</definedName>
    <definedName name="_uns71">#REF!</definedName>
    <definedName name="_uns72">#REF!</definedName>
    <definedName name="_uns73">#REF!</definedName>
    <definedName name="_uns74">#REF!</definedName>
    <definedName name="_uns75">#REF!</definedName>
    <definedName name="_uns81">#REF!</definedName>
    <definedName name="_uns82">#REF!</definedName>
    <definedName name="_uns83">#REF!</definedName>
    <definedName name="_uns84">#REF!</definedName>
    <definedName name="_uns85">#REF!</definedName>
    <definedName name="_uns91">#REF!</definedName>
    <definedName name="_uns92">#REF!</definedName>
    <definedName name="_uns93">#REF!</definedName>
    <definedName name="_uns94">#REF!</definedName>
    <definedName name="_uns95">#REF!</definedName>
    <definedName name="_UXA1">#REF!</definedName>
    <definedName name="_UXA2">#REF!</definedName>
    <definedName name="_UXA3">#REF!</definedName>
    <definedName name="_UXA4">#REF!</definedName>
    <definedName name="_UXA5">#REF!</definedName>
    <definedName name="_UXB1">[6]Unix단가표!$D$7</definedName>
    <definedName name="_UXB2">[6]Unix단가표!$D$8</definedName>
    <definedName name="_UXB3">[6]Unix단가표!$D$9</definedName>
    <definedName name="_UXB4">[6]Unix단가표!$D$10</definedName>
    <definedName name="_UXB5">#REF!</definedName>
    <definedName name="_UXC1">[6]Unix단가표!$D$12</definedName>
    <definedName name="_UXC2">[6]Unix단가표!$D$13</definedName>
    <definedName name="_UXC3">[6]Unix단가표!$D$14</definedName>
    <definedName name="_UXC4">[6]Unix단가표!$D$15</definedName>
    <definedName name="_UXC5">#REF!</definedName>
    <definedName name="_UXD1">[6]Unix단가표!$D$17</definedName>
    <definedName name="_UXD2">[6]Unix단가표!$D$18</definedName>
    <definedName name="_UXD3">[6]Unix단가표!$D$19</definedName>
    <definedName name="_UXD4">[6]Unix단가표!$D$20</definedName>
    <definedName name="_UXD5">#REF!</definedName>
    <definedName name="_UXE11">[6]Unix단가표!$D$22</definedName>
    <definedName name="_UXE12">[6]Unix단가표!$E$22</definedName>
    <definedName name="_UXE13">[6]Unix단가표!$F$22</definedName>
    <definedName name="_UXE21">[6]Unix단가표!$D$23</definedName>
    <definedName name="_UXE22">[6]Unix단가표!$E$23</definedName>
    <definedName name="_UXE23">[6]Unix단가표!$F$23</definedName>
    <definedName name="_UXE31">[6]Unix단가표!$D$24</definedName>
    <definedName name="_UXE32">[6]Unix단가표!$E$24</definedName>
    <definedName name="_UXE33">[6]Unix단가표!$F$24</definedName>
    <definedName name="_UXE41">[6]Unix단가표!$D$25</definedName>
    <definedName name="_UXE42">[6]Unix단가표!$E$25</definedName>
    <definedName name="_UXE43">[6]Unix단가표!$F$25</definedName>
    <definedName name="_UXE51">#REF!</definedName>
    <definedName name="_UXE52">#REF!</definedName>
    <definedName name="_UXE53">#REF!</definedName>
    <definedName name="_UXF11">[6]Unix단가표!$D$27</definedName>
    <definedName name="_UXF12">[6]Unix단가표!$E$27</definedName>
    <definedName name="_UXF13">[6]Unix단가표!$F$27</definedName>
    <definedName name="_UXF21">[6]Unix단가표!$D$28</definedName>
    <definedName name="_UXF22">[6]Unix단가표!$E$28</definedName>
    <definedName name="_UXF23">[6]Unix단가표!$F$28</definedName>
    <definedName name="_UXF31">[6]Unix단가표!$D$29</definedName>
    <definedName name="_UXF32">[6]Unix단가표!$E$29</definedName>
    <definedName name="_UXF33">[6]Unix단가표!$F$29</definedName>
    <definedName name="_UXF41">[6]Unix단가표!$D$30</definedName>
    <definedName name="_UXF42">[6]Unix단가표!$E$30</definedName>
    <definedName name="_UXF43">[6]Unix단가표!$F$30</definedName>
    <definedName name="_UXF51">#REF!</definedName>
    <definedName name="_UXF52">#REF!</definedName>
    <definedName name="_UXF53">#REF!</definedName>
    <definedName name="_UXG11">[6]Unix단가표!$D$32</definedName>
    <definedName name="_UXG12">[6]Unix단가표!$E$32</definedName>
    <definedName name="_UXG13">[6]Unix단가표!$F$32</definedName>
    <definedName name="_UXG21">[6]Unix단가표!$D$33</definedName>
    <definedName name="_UXG22">[6]Unix단가표!$E$33</definedName>
    <definedName name="_UXG23">[6]Unix단가표!$F$33</definedName>
    <definedName name="_UXG31">[6]Unix단가표!$D$34</definedName>
    <definedName name="_UXG32">[6]Unix단가표!$E$34</definedName>
    <definedName name="_UXG33">[6]Unix단가표!$F$34</definedName>
    <definedName name="_UXG41">[6]Unix단가표!$D$35</definedName>
    <definedName name="_UXG42">[6]Unix단가표!$E$35</definedName>
    <definedName name="_UXG43">[6]Unix단가표!$F$35</definedName>
    <definedName name="_UXG51">#REF!</definedName>
    <definedName name="_UXG52">#REF!</definedName>
    <definedName name="_UXG53">#REF!</definedName>
    <definedName name="_UXH11">[6]Unix단가표!$D$37</definedName>
    <definedName name="_UXH12">[6]Unix단가표!$E$37</definedName>
    <definedName name="_UXH13">[6]Unix단가표!$F$37</definedName>
    <definedName name="_UXH21">[6]Unix단가표!$D$38</definedName>
    <definedName name="_UXH22">[6]Unix단가표!$E$38</definedName>
    <definedName name="_UXH23">[6]Unix단가표!$F$38</definedName>
    <definedName name="_UXH31">[6]Unix단가표!$D$39</definedName>
    <definedName name="_UXH32">[6]Unix단가표!$E$39</definedName>
    <definedName name="_UXH33">[6]Unix단가표!$F$39</definedName>
    <definedName name="_UXH41">[6]Unix단가표!$D$40</definedName>
    <definedName name="_UXH42">[6]Unix단가표!$E$40</definedName>
    <definedName name="_UXH43">[6]Unix단가표!$F$40</definedName>
    <definedName name="_UXH51">#REF!</definedName>
    <definedName name="_UXH52">#REF!</definedName>
    <definedName name="_UXH53">#REF!</definedName>
    <definedName name="_UXI11">[6]Unix단가표!$D$44</definedName>
    <definedName name="_UXI12">[6]Unix단가표!$E$44</definedName>
    <definedName name="_UXI13">[6]Unix단가표!$F$44</definedName>
    <definedName name="_UXI21">[6]Unix단가표!$D$45</definedName>
    <definedName name="_UXI22">[6]Unix단가표!$E$45</definedName>
    <definedName name="_UXI23">[6]Unix단가표!$F$45</definedName>
    <definedName name="_UXI31">[6]Unix단가표!$D$46</definedName>
    <definedName name="_UXI32">[6]Unix단가표!$E$46</definedName>
    <definedName name="_UXI33">[6]Unix단가표!$F$46</definedName>
    <definedName name="_UXI41">[6]Unix단가표!$D$47</definedName>
    <definedName name="_UXI42">[6]Unix단가표!$E$47</definedName>
    <definedName name="_UXI43">[6]Unix단가표!$F$47</definedName>
    <definedName name="_UXI51">#REF!</definedName>
    <definedName name="_UXI52">#REF!</definedName>
    <definedName name="_UXI53">#REF!</definedName>
    <definedName name="_UXJ11">[6]Unix단가표!$D$49</definedName>
    <definedName name="_UXJ12">[6]Unix단가표!$E$49</definedName>
    <definedName name="_UXJ13">[6]Unix단가표!$F$49</definedName>
    <definedName name="_UXJ21">[6]Unix단가표!$D$50</definedName>
    <definedName name="_UXJ22">[6]Unix단가표!$E$50</definedName>
    <definedName name="_UXJ23">[6]Unix단가표!$F$50</definedName>
    <definedName name="_UXJ31">[6]Unix단가표!$D$51</definedName>
    <definedName name="_UXJ32">[6]Unix단가표!$E$51</definedName>
    <definedName name="_UXJ33">[6]Unix단가표!$F$51</definedName>
    <definedName name="_UXJ41">[6]Unix단가표!$D$52</definedName>
    <definedName name="_UXJ42">[6]Unix단가표!$E$52</definedName>
    <definedName name="_UXJ43">[6]Unix단가표!$F$52</definedName>
    <definedName name="_UXJ51">#REF!</definedName>
    <definedName name="_UXJ52">#REF!</definedName>
    <definedName name="_UXJ53">#REF!</definedName>
    <definedName name="_UXK11">[6]Unix단가표!$D$54</definedName>
    <definedName name="_UXK12">[6]Unix단가표!$E$54</definedName>
    <definedName name="_UXK13">[6]Unix단가표!$F$54</definedName>
    <definedName name="_UXK21">[6]Unix단가표!$D$55</definedName>
    <definedName name="_UXK22">[6]Unix단가표!$E$55</definedName>
    <definedName name="_UXK23">[6]Unix단가표!$F$55</definedName>
    <definedName name="_UXK31">[6]Unix단가표!$D$56</definedName>
    <definedName name="_UXK32">[6]Unix단가표!$E$56</definedName>
    <definedName name="_UXK33">[6]Unix단가표!$F$56</definedName>
    <definedName name="_UXK41">[6]Unix단가표!$D$57</definedName>
    <definedName name="_UXK42">[6]Unix단가표!$E$57</definedName>
    <definedName name="_UXK43">[6]Unix단가표!$F$57</definedName>
    <definedName name="_UXK51">#REF!</definedName>
    <definedName name="_UXK52">#REF!</definedName>
    <definedName name="_UXK53">#REF!</definedName>
    <definedName name="_UXL11">[6]Unix단가표!$D$59</definedName>
    <definedName name="_UXL12">[6]Unix단가표!$E$59</definedName>
    <definedName name="_UXL13">[6]Unix단가표!$F$59</definedName>
    <definedName name="_UXL21">[6]Unix단가표!$D$60</definedName>
    <definedName name="_UXL22">[6]Unix단가표!$E$60</definedName>
    <definedName name="_UXL23">[6]Unix단가표!$F$60</definedName>
    <definedName name="_UXL31">[6]Unix단가표!$D$61</definedName>
    <definedName name="_UXL32">[6]Unix단가표!$E$61</definedName>
    <definedName name="_UXL33">[6]Unix단가표!$F$61</definedName>
    <definedName name="_UXL41">[6]Unix단가표!$D$62</definedName>
    <definedName name="_UXL42">[6]Unix단가표!$E$62</definedName>
    <definedName name="_UXL43">[6]Unix단가표!$F$62</definedName>
    <definedName name="_UXL51">#REF!</definedName>
    <definedName name="_UXL52">#REF!</definedName>
    <definedName name="_UXL53">#REF!</definedName>
    <definedName name="_UXM11">[6]Unix단가표!$D$64</definedName>
    <definedName name="_UXM12">[6]Unix단가표!$E$64</definedName>
    <definedName name="_UXM13">[6]Unix단가표!$F$64</definedName>
    <definedName name="_UXM21">[6]Unix단가표!$D$65</definedName>
    <definedName name="_UXM22">[6]Unix단가표!$E$65</definedName>
    <definedName name="_UXM23">[6]Unix단가표!$F$65</definedName>
    <definedName name="_UXM31">[6]Unix단가표!$D$66</definedName>
    <definedName name="_UXM32">[6]Unix단가표!$E$66</definedName>
    <definedName name="_UXM33">[6]Unix단가표!$F$66</definedName>
    <definedName name="_UXM41">[6]Unix단가표!$D$67</definedName>
    <definedName name="_UXM42">[6]Unix단가표!$E$67</definedName>
    <definedName name="_UXM43">[6]Unix단가표!$F$67</definedName>
    <definedName name="_UXM51">#REF!</definedName>
    <definedName name="_UXM52">#REF!</definedName>
    <definedName name="_UXM53">#REF!</definedName>
    <definedName name="_wo1">'[7]예정(3)'!#REF!</definedName>
    <definedName name="_wte1" hidden="1">{#N/A,#N/A,FALSE,"ALM-ASISC"}</definedName>
    <definedName name="\0">'[8]9GNG운반'!#REF!</definedName>
    <definedName name="\A">'[8]9GNG운반'!#REF!</definedName>
    <definedName name="\B">'[8]9GNG운반'!#REF!</definedName>
    <definedName name="\I">'[8]9GNG운반'!#REF!</definedName>
    <definedName name="\O">'[8]9GNG운반'!#REF!</definedName>
    <definedName name="\P">'[8]9GNG운반'!#REF!</definedName>
    <definedName name="\Q">'[8]9GNG운반'!#REF!</definedName>
    <definedName name="a">'[9]NW-장비'!$K$4</definedName>
    <definedName name="A000">#REF!</definedName>
    <definedName name="aa" localSheetId="0" hidden="1">{"'Desktop Inventory 현황'!$B$2:$O$35"}</definedName>
    <definedName name="aa" hidden="1">{"'Desktop Inventory 현황'!$B$2:$O$35"}</definedName>
    <definedName name="aaa">#REF!</definedName>
    <definedName name="AAAAA">#REF!</definedName>
    <definedName name="Access_Button" hidden="1">"용산매출_Sheet1_List"</definedName>
    <definedName name="AccessDatabase" hidden="1">"C:\My Documents\매장매출.mdb"</definedName>
    <definedName name="adi" localSheetId="0" hidden="1">{"'Desktop Inventory 현황'!$B$2:$O$35"}</definedName>
    <definedName name="adi" hidden="1">{"'Desktop Inventory 현황'!$B$2:$O$35"}</definedName>
    <definedName name="AD전환인력" localSheetId="0" hidden="1">{"'Desktop Inventory 현황'!$B$2:$O$35"}</definedName>
    <definedName name="AD전환인력" hidden="1">{"'Desktop Inventory 현황'!$B$2:$O$35"}</definedName>
    <definedName name="ajdla" localSheetId="0" hidden="1">{"'Desktop Inventory 현황'!$B$2:$O$35"}</definedName>
    <definedName name="ajdla" hidden="1">{"'Desktop Inventory 현황'!$B$2:$O$35"}</definedName>
    <definedName name="AM">[10]정산이름표!$B$4</definedName>
    <definedName name="ARSCC">#REF!</definedName>
    <definedName name="ASDF" localSheetId="1">#REF!:_RjC2</definedName>
    <definedName name="ASDF">#REF!:_RjC2</definedName>
    <definedName name="ASIC">#REF!</definedName>
    <definedName name="b1h">'[11]Unix-price'!$K$6</definedName>
    <definedName name="b1l">#REF!</definedName>
    <definedName name="b1m">#REF!</definedName>
    <definedName name="b1s">#REF!</definedName>
    <definedName name="b1st">#REF!</definedName>
    <definedName name="b2h">#REF!</definedName>
    <definedName name="b2l">#REF!</definedName>
    <definedName name="b2m">#REF!</definedName>
    <definedName name="b2s">#REF!</definedName>
    <definedName name="b2st">#REF!</definedName>
    <definedName name="b3h">#REF!</definedName>
    <definedName name="b3l">#REF!</definedName>
    <definedName name="b3m">#REF!</definedName>
    <definedName name="b3s">#REF!</definedName>
    <definedName name="b3st">#REF!</definedName>
    <definedName name="b4h">#REF!</definedName>
    <definedName name="b4l">#REF!</definedName>
    <definedName name="b4m">#REF!</definedName>
    <definedName name="b4s">#REF!</definedName>
    <definedName name="b4st">#REF!</definedName>
    <definedName name="b5hb">#REF!</definedName>
    <definedName name="b5hg">#REF!</definedName>
    <definedName name="b5hs">#REF!</definedName>
    <definedName name="b5lb">#REF!</definedName>
    <definedName name="b5lg">#REF!</definedName>
    <definedName name="b5ls">#REF!</definedName>
    <definedName name="b5mb">#REF!</definedName>
    <definedName name="b5mg">#REF!</definedName>
    <definedName name="b5ms">#REF!</definedName>
    <definedName name="b5sb">#REF!</definedName>
    <definedName name="b5sg">#REF!</definedName>
    <definedName name="b5ss">#REF!</definedName>
    <definedName name="b5stb">#REF!</definedName>
    <definedName name="b5stg">#REF!</definedName>
    <definedName name="b5sts">#REF!</definedName>
    <definedName name="b6hb">#REF!</definedName>
    <definedName name="b6hg">#REF!</definedName>
    <definedName name="b6hs">#REF!</definedName>
    <definedName name="b6lb">#REF!</definedName>
    <definedName name="b6lg">#REF!</definedName>
    <definedName name="b6ls">#REF!</definedName>
    <definedName name="b6mb">#REF!</definedName>
    <definedName name="b6mg">#REF!</definedName>
    <definedName name="b6ms">#REF!</definedName>
    <definedName name="b6sb">#REF!</definedName>
    <definedName name="b6sg">#REF!</definedName>
    <definedName name="b6ss">#REF!</definedName>
    <definedName name="b6stb">#REF!</definedName>
    <definedName name="b6stg">#REF!</definedName>
    <definedName name="b6sts">#REF!</definedName>
    <definedName name="b7hb">#REF!</definedName>
    <definedName name="b7hg">#REF!</definedName>
    <definedName name="b7hs">#REF!</definedName>
    <definedName name="b7lb">#REF!</definedName>
    <definedName name="b7lg">#REF!</definedName>
    <definedName name="b7ls">#REF!</definedName>
    <definedName name="b7mb">#REF!</definedName>
    <definedName name="b7mg">#REF!</definedName>
    <definedName name="b7ms">#REF!</definedName>
    <definedName name="b7sb">#REF!</definedName>
    <definedName name="b7sg">#REF!</definedName>
    <definedName name="b7ss">#REF!</definedName>
    <definedName name="b7stb">#REF!</definedName>
    <definedName name="b7stg">#REF!</definedName>
    <definedName name="b7sts">#REF!</definedName>
    <definedName name="badmgr">#REF!</definedName>
    <definedName name="basicsem">[12]index!$A$23:$G$35</definedName>
    <definedName name="bbb">#REF!</definedName>
    <definedName name="bdcgr">#REF!</definedName>
    <definedName name="bdtgr">#REF!</definedName>
    <definedName name="befcondc">#REF!</definedName>
    <definedName name="befcondt">#REF!</definedName>
    <definedName name="befconnw">#REF!</definedName>
    <definedName name="befmpadm">#REF!</definedName>
    <definedName name="befmpdc">#REF!</definedName>
    <definedName name="befmpdt">#REF!</definedName>
    <definedName name="befmpnw">#REF!</definedName>
    <definedName name="best1">[13]Best1!$C$3:$C$62</definedName>
    <definedName name="bit">#REF!</definedName>
    <definedName name="bleaseperiod">#REF!</definedName>
    <definedName name="bleaserate">#REF!</definedName>
    <definedName name="bnwgr">#REF!</definedName>
    <definedName name="brefreshdesktop">#REF!</definedName>
    <definedName name="brefreshothers">#REF!</definedName>
    <definedName name="btedc">#REF!</definedName>
    <definedName name="btedt">#REF!</definedName>
    <definedName name="btenw">#REF!</definedName>
    <definedName name="BTSINFO_991Q">#REF!</definedName>
    <definedName name="BTSINFO_992Q">#REF!</definedName>
    <definedName name="BTSINFO_팀구분">#REF!</definedName>
    <definedName name="bu">'[14]서버별 백업'!$A$1:$B$29</definedName>
    <definedName name="bwacc">#REF!</definedName>
    <definedName name="cache">#REF!</definedName>
    <definedName name="CAMPC">#REF!</definedName>
    <definedName name="CB_1">#REF!</definedName>
    <definedName name="CC단가">#REF!</definedName>
    <definedName name="CHC_경기">#REF!</definedName>
    <definedName name="CHC_서울">#REF!</definedName>
    <definedName name="CHC_서울_COUNT">#REF!</definedName>
    <definedName name="CHC산출_경기">'[15]Calc V1.2'!$H$1:$AC$65536</definedName>
    <definedName name="CHC산출_서울">'[15]Calc V1.2 (2)'!$H$1:$AC$65536</definedName>
    <definedName name="ciperiod">#REF!</definedName>
    <definedName name="ciwacc">#REF!</definedName>
    <definedName name="coefficient">#REF!</definedName>
    <definedName name="coefficient2">#REF!</definedName>
    <definedName name="Compaq_5">#REF!</definedName>
    <definedName name="Compaq_6">[16]총괄표!$I$10</definedName>
    <definedName name="compaq_7">#REF!</definedName>
    <definedName name="COMPAQ_LIST">'[17]COMPAQ-LIST'!$A$1:$A$65536</definedName>
    <definedName name="COMPAQ_RANGE">'[17]COMPAQ-LIST'!$A$1:$C$65536</definedName>
    <definedName name="Compaq_rate">#REF!</definedName>
    <definedName name="contract">[18]FTE!#REF!</definedName>
    <definedName name="contractor_unit_price">#REF!</definedName>
    <definedName name="cost" hidden="1">{"'Desktop Inventory 현황'!$B$2:$O$35"}</definedName>
    <definedName name="Cost1" hidden="1">{"'Desktop Inventory 현황'!$B$2:$O$35"}</definedName>
    <definedName name="cpu">#REF!</definedName>
    <definedName name="cwe" hidden="1">{#N/A,#N/A,FALSE,"ALM-ASISC"}</definedName>
    <definedName name="d">#REF!</definedName>
    <definedName name="_xlnm.Database">#REF!</definedName>
    <definedName name="DATE">#REF!</definedName>
    <definedName name="Day_Hours">24</definedName>
    <definedName name="DC_서울">#REF!</definedName>
    <definedName name="DCportion">#REF!</definedName>
    <definedName name="ddd">'[9]NW-장비'!$L$4</definedName>
    <definedName name="de">'[19]종합(Body산정과정) HP UX'!#REF!</definedName>
    <definedName name="DEL">#REF!</definedName>
    <definedName name="DEPREIN">#REF!</definedName>
    <definedName name="DEPREOUT">#REF!</definedName>
    <definedName name="discount">#REF!</definedName>
    <definedName name="disr">'[19]종합(Body산정과정) HP UX'!#REF!</definedName>
    <definedName name="disr1">'[20]종합(Body산정과정) HP UX'!$G$29</definedName>
    <definedName name="disr2">'[20]종합(Body산정과정) HP UX'!$G$30</definedName>
    <definedName name="disr3">'[20]종합(Body산정과정) HP UX'!$G$31</definedName>
    <definedName name="disr4">'[19]종합(Body산정과정) HP UX'!#REF!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sfga" hidden="1">{#N/A,#N/A,FALSE,"3가";#N/A,#N/A,FALSE,"3나";#N/A,#N/A,FALSE,"3다"}</definedName>
    <definedName name="DTIC">#REF!</definedName>
    <definedName name="DTportion">#REF!</definedName>
    <definedName name="e">[21]총괄표!$I$8</definedName>
    <definedName name="EC2_OSSW">'[22]서비스별 사양'!$C$4:$C$17</definedName>
    <definedName name="eeee">[21]총괄표!$I$11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el">[18]FTE!#REF!</definedName>
    <definedName name="ePromotionRate">[23]INPUTAREA!$C$27</definedName>
    <definedName name="er" hidden="1">{#N/A,#N/A,FALSE,"ALM-ASISC"}</definedName>
    <definedName name="ex_rate">#REF!</definedName>
    <definedName name="Exchange">1250</definedName>
    <definedName name="f">#REF!</definedName>
    <definedName name="F_19">#REF!</definedName>
    <definedName name="FA_서울">#REF!</definedName>
    <definedName name="Facility_Rate">#REF!</definedName>
    <definedName name="Facility_Rate_NW">#REF!</definedName>
    <definedName name="FF" hidden="1">#REF!</definedName>
    <definedName name="fff">#REF!</definedName>
    <definedName name="ffte">'[24]운영 비용(Infra)-원가'!$B$1</definedName>
    <definedName name="fkwheku" hidden="1">{#N/A,#N/A,FALSE,"ALM-ASISC"}</definedName>
    <definedName name="fte">#REF!</definedName>
    <definedName name="fuck" localSheetId="1">#REF!:_RjC2</definedName>
    <definedName name="fuck">#REF!:_RjC2</definedName>
    <definedName name="GFACTOR_9901기준">#REF!</definedName>
    <definedName name="gfdsdfg" hidden="1">{#N/A,#N/A,FALSE,"3가";#N/A,#N/A,FALSE,"3나";#N/A,#N/A,FALSE,"3다"}</definedName>
    <definedName name="Gold">#REF!</definedName>
    <definedName name="Growth">'[25]첨부2. HW,SW사용료'!#REF!</definedName>
    <definedName name="Growth02">'[25]첨부2. HW,SW사용료'!#REF!</definedName>
    <definedName name="GSTC">#REF!</definedName>
    <definedName name="H" localSheetId="0" hidden="1">{#N/A,#N/A,FALSE,"3가";#N/A,#N/A,FALSE,"3나";#N/A,#N/A,FALSE,"3다"}</definedName>
    <definedName name="H" hidden="1">{#N/A,#N/A,FALSE,"3가";#N/A,#N/A,FALSE,"3나";#N/A,#N/A,FALSE,"3다"}</definedName>
    <definedName name="H_W_사용년수">#REF!</definedName>
    <definedName name="hb">'[26]unix-factor'!$E$3</definedName>
    <definedName name="hejlkw" hidden="1">{#N/A,#N/A,FALSE,"ALM-ASISC"}</definedName>
    <definedName name="hg">'[26]unix-factor'!$C$3</definedName>
    <definedName name="HP_1999">'[27]Unix-Memory 단가 총괄'!$H$19</definedName>
    <definedName name="HP_2000">'[27]Unix-Memory 단가 총괄'!$H$20</definedName>
    <definedName name="HP_2001">'[27]Unix-Memory 단가 총괄'!$H$21</definedName>
    <definedName name="HP_2002">'[27]Unix-Memory 단가 총괄'!$H$22</definedName>
    <definedName name="HP_5">#REF!</definedName>
    <definedName name="HP_6">[16]총괄표!$I$8</definedName>
    <definedName name="hp_7">#REF!</definedName>
    <definedName name="HP_MHz_1999">'[27]Unix-MHz 단가 총괄'!$H$17</definedName>
    <definedName name="HP_MHz_2000">'[27]Unix-MHz 단가 총괄'!$H$18</definedName>
    <definedName name="HP_MHz_2001">'[27]Unix-MHz 단가 총괄'!$H$19</definedName>
    <definedName name="HP_MHz_2002">'[27]Unix-MHz 단가 총괄'!$H$20</definedName>
    <definedName name="HP_rate">#REF!</definedName>
    <definedName name="hs">'[26]unix-factor'!$D$3</definedName>
    <definedName name="hsdgfjhf" hidden="1">{#N/A,#N/A,FALSE,"ALM-ASISC"}</definedName>
    <definedName name="HTML_CodePage" hidden="1">949</definedName>
    <definedName name="HTML_Control" localSheetId="0" hidden="1">{"'Desktop Inventory 현황'!$B$2:$O$35"}</definedName>
    <definedName name="HTML_Control" hidden="1">{"'Desktop Inventory 현황'!$B$2:$O$35"}</definedName>
    <definedName name="HTML_Description" hidden="1">""</definedName>
    <definedName name="HTML_Email" hidden="1">"jwon@sktelecom.com"</definedName>
    <definedName name="HTML_Header" hidden="1">"Desktop Inventory 총괄현황"</definedName>
    <definedName name="HTML_LastUpdate" hidden="1">"1999-04-02"</definedName>
    <definedName name="HTML_LineAfter" hidden="1">FALSE</definedName>
    <definedName name="HTML_LineBefore" hidden="1">FALSE</definedName>
    <definedName name="HTML_Name" hidden="1">"최종원"</definedName>
    <definedName name="HTML_OBDlg2" hidden="1">TRUE</definedName>
    <definedName name="HTML_OBDlg4" hidden="1">TRUE</definedName>
    <definedName name="HTML_OS" hidden="1">0</definedName>
    <definedName name="HTML_PathFile" hidden="1">"H:\Inetpub\wwwroot\myweb\DesktopSolution\InventoryManage\inventory.htm"</definedName>
    <definedName name="HTML_Title" hidden="1">"Desktop Inventory 총괄현황"</definedName>
    <definedName name="HTML1_Control" hidden="1">{"'Desktop Inventory 현황'!$B$2:$O$35"}</definedName>
    <definedName name="HTML2_Control" hidden="1">{"'Desktop Inventory 현황'!$B$2:$O$35"}</definedName>
    <definedName name="HTT" localSheetId="0" hidden="1">{"'Desktop Inventory 현황'!$B$2:$O$35"}</definedName>
    <definedName name="HTT" hidden="1">{"'Desktop Inventory 현황'!$B$2:$O$35"}</definedName>
    <definedName name="HW_rate">#REF!</definedName>
    <definedName name="HW_rate2">#REF!</definedName>
    <definedName name="IBM_1999">'[27]Unix-Memory 단가 총괄'!$H$23</definedName>
    <definedName name="IBM_2000">'[27]Unix-Memory 단가 총괄'!$H$24</definedName>
    <definedName name="IBM_2001">'[27]Unix-Memory 단가 총괄'!$H$25</definedName>
    <definedName name="IBM_2002">'[27]Unix-Memory 단가 총괄'!$H$26</definedName>
    <definedName name="IBM_MHz_1999">'[27]Unix-MHz 단가 총괄'!$H$21</definedName>
    <definedName name="IBM_MHz_2000">'[27]Unix-MHz 단가 총괄'!$H$22</definedName>
    <definedName name="IBM_MHz_2001">'[27]Unix-MHz 단가 총괄'!$H$23</definedName>
    <definedName name="IBM_MHz_2002">'[27]Unix-MHz 단가 총괄'!$H$24</definedName>
    <definedName name="ICPC">#REF!</definedName>
    <definedName name="Int_rate">#REF!</definedName>
    <definedName name="Int_rate_02">'[28]분류 '!$F$17</definedName>
    <definedName name="Int_rate_2">'[29]DS-장비'!$J$4</definedName>
    <definedName name="Int_rate2">#REF!</definedName>
    <definedName name="Int_rate3">#REF!</definedName>
    <definedName name="Interest_rate">[30]DS_3Q!$O$3</definedName>
    <definedName name="interstrate">#REF!</definedName>
    <definedName name="INV">#REF!</definedName>
    <definedName name="IT_intrate">#REF!</definedName>
    <definedName name="IT_period">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JV">#REF!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an_Cate_No">'[31]Oper Amount'!#REF!</definedName>
    <definedName name="lb">'[26]unix-factor'!$E$4</definedName>
    <definedName name="LEASEIN">#REF!</definedName>
    <definedName name="leaseintrate">#REF!</definedName>
    <definedName name="LEASEOUT">#REF!</definedName>
    <definedName name="LEASEPERIOD">#REF!</definedName>
    <definedName name="LEASERATE">#REF!</definedName>
    <definedName name="lg">'[26]unix-factor'!$C$4</definedName>
    <definedName name="LPA_서울">#REF!</definedName>
    <definedName name="LRIC">#REF!</definedName>
    <definedName name="ls">'[26]unix-factor'!$D$4</definedName>
    <definedName name="lsem">#REF!</definedName>
    <definedName name="ltot">#REF!</definedName>
    <definedName name="M">#REF!</definedName>
    <definedName name="MA_rate">#REF!</definedName>
    <definedName name="MA_Rate_Auto">#REF!</definedName>
    <definedName name="MA_Rate_DB">#REF!</definedName>
    <definedName name="MA_Rate_NT">#REF!</definedName>
    <definedName name="MA_Rate_NT_HW">#REF!</definedName>
    <definedName name="MA_Rate_NT_SW">#REF!</definedName>
    <definedName name="MA_Rate_NW">#REF!</definedName>
    <definedName name="MA_Rate_Unix">#REF!</definedName>
    <definedName name="MA_Rate_UNIX_SW">#REF!</definedName>
    <definedName name="maapplmaint">'[1]#REF'!$E$65</definedName>
    <definedName name="Margin_Non_Sys">#REF!</definedName>
    <definedName name="Margin_Non_Sys_DB">#REF!</definedName>
    <definedName name="Margin_Sys">#REF!</definedName>
    <definedName name="Margin_Sys_DB">#REF!</definedName>
    <definedName name="mb">'[26]unix-factor'!$E$5</definedName>
    <definedName name="MDL">'[32]9월가격'!$A$1:$A$65536</definedName>
    <definedName name="mg">'[26]unix-factor'!$C$5</definedName>
    <definedName name="MODEL">#REF!</definedName>
    <definedName name="Month_Hours">730</definedName>
    <definedName name="mr">#REF!</definedName>
    <definedName name="ms">'[26]unix-factor'!$D$5</definedName>
    <definedName name="msem">#REF!</definedName>
    <definedName name="MSIC">#REF!</definedName>
    <definedName name="MSICC">#REF!</definedName>
    <definedName name="MTC">#REF!</definedName>
    <definedName name="mtot">#REF!</definedName>
    <definedName name="name">[33]IN!$D$5</definedName>
    <definedName name="name1">[33]IN!$D$5</definedName>
    <definedName name="NESC">#REF!</definedName>
    <definedName name="netbackup">'[13]Net-Backup'!$D$4:$D$187</definedName>
    <definedName name="NO">#REF!</definedName>
    <definedName name="NoAllPricing">'[22]AWS Resource 내역(Share Account)'!$P$7</definedName>
    <definedName name="NoAllPricing2">'[22]AWS Resource 내역(Share Account)'!$S$7</definedName>
    <definedName name="nrate">[34]Factor!$C$8</definedName>
    <definedName name="NT">[35]등급!$A$2:$B$1032</definedName>
    <definedName name="NTAA1">[4]NT운영단가표!$D$2</definedName>
    <definedName name="NTAA2">[4]NT운영단가표!$D$3</definedName>
    <definedName name="NTAA3">[4]NT운영단가표!$D$4</definedName>
    <definedName name="NTBASICSEM">[12]index!$A$41:$M$48</definedName>
    <definedName name="NTDCS">'[36]NT(DCS)'!$U$1:$BI$65536</definedName>
    <definedName name="NTDS">'[36]NT(DS)'!$V$1:$BI$65536</definedName>
    <definedName name="ntrt">#REF!</definedName>
    <definedName name="NT단가표">#REF!</definedName>
    <definedName name="NT전체범위">#REF!</definedName>
    <definedName name="NW_HW_rate">#REF!</definedName>
    <definedName name="NW_hw_rate_2">'[29]NW-장비'!$K$4</definedName>
    <definedName name="NW_SW_rate">#REF!</definedName>
    <definedName name="NW_sw_rate_2">'[29]NW-장비'!$L$4</definedName>
    <definedName name="NWINDEX">[37]index!$D$3:$F$8</definedName>
    <definedName name="NW단가표">[37]index!$B$19:$P$36</definedName>
    <definedName name="o" hidden="1">#REF!</definedName>
    <definedName name="o1hb">#REF!</definedName>
    <definedName name="o1hg">#REF!</definedName>
    <definedName name="o1hs">#REF!</definedName>
    <definedName name="o1lb">#REF!</definedName>
    <definedName name="o1lg">#REF!</definedName>
    <definedName name="o1ls">#REF!</definedName>
    <definedName name="o1mb">#REF!</definedName>
    <definedName name="o1mg">#REF!</definedName>
    <definedName name="o1ms">#REF!</definedName>
    <definedName name="o1sb">#REF!</definedName>
    <definedName name="o1sg">#REF!</definedName>
    <definedName name="o1ss">#REF!</definedName>
    <definedName name="o1stb">#REF!</definedName>
    <definedName name="o1stg">#REF!</definedName>
    <definedName name="o1sts">#REF!</definedName>
    <definedName name="o4hb">#REF!</definedName>
    <definedName name="o4hg">#REF!</definedName>
    <definedName name="o4hs">#REF!</definedName>
    <definedName name="o4lb">#REF!</definedName>
    <definedName name="o4lg">#REF!</definedName>
    <definedName name="o4ls">#REF!</definedName>
    <definedName name="o4mb">#REF!</definedName>
    <definedName name="o4mg">#REF!</definedName>
    <definedName name="o4ms">#REF!</definedName>
    <definedName name="o4sb">#REF!</definedName>
    <definedName name="o4sg">#REF!</definedName>
    <definedName name="o4ss">#REF!</definedName>
    <definedName name="o4stb">#REF!</definedName>
    <definedName name="o4stg">#REF!</definedName>
    <definedName name="o4sts">#REF!</definedName>
    <definedName name="o5hb">#REF!</definedName>
    <definedName name="o5hg">#REF!</definedName>
    <definedName name="o5hs">#REF!</definedName>
    <definedName name="o5lb">#REF!</definedName>
    <definedName name="o5lg">#REF!</definedName>
    <definedName name="o5ls">#REF!</definedName>
    <definedName name="o5mb">#REF!</definedName>
    <definedName name="o5mg">#REF!</definedName>
    <definedName name="o5ms">#REF!</definedName>
    <definedName name="o5sb">#REF!</definedName>
    <definedName name="o5sg">#REF!</definedName>
    <definedName name="o5ss">#REF!</definedName>
    <definedName name="o5stb">#REF!</definedName>
    <definedName name="o5stg">#REF!</definedName>
    <definedName name="o5sts">#REF!</definedName>
    <definedName name="o6h">#REF!</definedName>
    <definedName name="o6l">#REF!</definedName>
    <definedName name="o6m">#REF!</definedName>
    <definedName name="o6s">#REF!</definedName>
    <definedName name="o6st">#REF!</definedName>
    <definedName name="o7hb">#REF!</definedName>
    <definedName name="o7hg">#REF!</definedName>
    <definedName name="o7hs">#REF!</definedName>
    <definedName name="o7lb">#REF!</definedName>
    <definedName name="o7lg">#REF!</definedName>
    <definedName name="o7ls">#REF!</definedName>
    <definedName name="o7mb">#REF!</definedName>
    <definedName name="o7mg">#REF!</definedName>
    <definedName name="o7ms">#REF!</definedName>
    <definedName name="o7sb">#REF!</definedName>
    <definedName name="o7sg">#REF!</definedName>
    <definedName name="o7ss">#REF!</definedName>
    <definedName name="o7stb">#REF!</definedName>
    <definedName name="o7stg">#REF!</definedName>
    <definedName name="o7sts">#REF!</definedName>
    <definedName name="o8hb">#REF!</definedName>
    <definedName name="o8hg">#REF!</definedName>
    <definedName name="o8hs">#REF!</definedName>
    <definedName name="o8lb">#REF!</definedName>
    <definedName name="o8lg">#REF!</definedName>
    <definedName name="o8ls">#REF!</definedName>
    <definedName name="o8mb">#REF!</definedName>
    <definedName name="o8mg">#REF!</definedName>
    <definedName name="o8ms">#REF!</definedName>
    <definedName name="o8sb">#REF!</definedName>
    <definedName name="o8sg">#REF!</definedName>
    <definedName name="o8ss">#REF!</definedName>
    <definedName name="o8stb">#REF!</definedName>
    <definedName name="o8stg">#REF!</definedName>
    <definedName name="o8sts">#REF!</definedName>
    <definedName name="OA합계">'[38]DS상세 (2)'!$H$45</definedName>
    <definedName name="OCPC">#REF!</definedName>
    <definedName name="oo">'[7]동원(3)'!#REF!</definedName>
    <definedName name="Ora_7">#REF!</definedName>
    <definedName name="Oracle_5">#REF!</definedName>
    <definedName name="Oracle_6">[16]총괄표!$I$11</definedName>
    <definedName name="outc">'[1]#REF'!$T$6</definedName>
    <definedName name="PAP">#REF!</definedName>
    <definedName name="PCLEASEPERIOD">[39]inputarea_ref!#REF!</definedName>
    <definedName name="PERT" hidden="1">{#N/A,#N/A,FALSE,"ALM-ASISC"}</definedName>
    <definedName name="Pmt_Yr">'[28]분류 '!$F$21</definedName>
    <definedName name="principal">#REF!</definedName>
    <definedName name="_xlnm.Print_Area" localSheetId="1">'Azure Resource'!$A$1:$M$31</definedName>
    <definedName name="_xlnm.Print_Area" localSheetId="0">매출견적서!$A$1:$I$29</definedName>
    <definedName name="_xlnm.Print_Area">#REF!</definedName>
    <definedName name="PRINT_AREA_MI">#REF!</definedName>
    <definedName name="q">'[9]DS-장비'!$J$4</definedName>
    <definedName name="qq" hidden="1">{#N/A,#N/A,FALSE,"ALM-ASISC"}</definedName>
    <definedName name="qw" hidden="1">{#N/A,#N/A,FALSE,"ALM-ASISC"}</definedName>
    <definedName name="RANGE">#REF!</definedName>
    <definedName name="rat">#REF!</definedName>
    <definedName name="rate">#REF!</definedName>
    <definedName name="rate00">'[40]2000년'!$B$1</definedName>
    <definedName name="rate01">'[40]2001년'!$B$1</definedName>
    <definedName name="rate99">'[31]95년장비'!#REF!</definedName>
    <definedName name="RC0_서울">#REF!</definedName>
    <definedName name="_xlnm.Recorder">#REF!</definedName>
    <definedName name="REFRESHDESKTOP">#REF!</definedName>
    <definedName name="REFRESHOTHERS">#REF!</definedName>
    <definedName name="RMS">#REF!</definedName>
    <definedName name="RNG">'[32]9월가격'!$A$1:$D$65536</definedName>
    <definedName name="rr" hidden="1">#REF!</definedName>
    <definedName name="RRR" hidden="1">#REF!</definedName>
    <definedName name="rt00">#REF!</definedName>
    <definedName name="s">'[41]Oper Amount'!#REF!</definedName>
    <definedName name="SAPBEXdnldView" hidden="1">"3X463MTVZUB8OOD2ENUH6G9OW"</definedName>
    <definedName name="SAPBEXrevision" hidden="1">1</definedName>
    <definedName name="SAPBEXsysID" hidden="1">"CBP"</definedName>
    <definedName name="SAPBEXwbID" hidden="1">"3U16GAMEV84R06SXP5J51EW40"</definedName>
    <definedName name="sb">'[26]unix-factor'!$E$6</definedName>
    <definedName name="SCDLC">#REF!</definedName>
    <definedName name="sdfsdfsdfdsfdsfdsfdsfdsf" localSheetId="0" hidden="1">{"'Desktop Inventory 현황'!$B$2:$O$35"}</definedName>
    <definedName name="sdfsdfsdfdsfdsfdsfdsfdsf" hidden="1">{"'Desktop Inventory 현황'!$B$2:$O$35"}</definedName>
    <definedName name="SEC_서울">#REF!</definedName>
    <definedName name="sencount" hidden="1">102</definedName>
    <definedName name="SERVER">#REF!</definedName>
    <definedName name="Server_pn">[42]price!$A$1:$A$65536</definedName>
    <definedName name="Server_total">[42]price!$A$1:$E$65536</definedName>
    <definedName name="sg">'[26]unix-factor'!$C$6</definedName>
    <definedName name="sheets_name" localSheetId="1">#REF!:_RjC2</definedName>
    <definedName name="sheets_name">#REF!:_RjC2</definedName>
    <definedName name="skc">'[13]SL Master(SKC정보소재사업부문)'!$A$1:$J$32</definedName>
    <definedName name="SKChem">'[13]SL Master(케미칼)'!$A$1:$J$49</definedName>
    <definedName name="SKCorp">'[13]SL Master(SK Corp)'!$A$1:$J$190</definedName>
    <definedName name="SKEC">'[13]SL Master(건설)'!$A$1:$H$126</definedName>
    <definedName name="skever">'[13]SL Master(SKC화학사업부문)'!$A$1:$J$18</definedName>
    <definedName name="SKNW" localSheetId="1">#REF!:_RjC2</definedName>
    <definedName name="SKNW">#REF!:_RjC2</definedName>
    <definedName name="SKShip">'[13]SL Master(해운)'!$A$1:$H$39</definedName>
    <definedName name="SKT">'[13]SL Master(SKT)'!$A$1:$I$686</definedName>
    <definedName name="SM">'[43]model master'!$A$2:$A$65</definedName>
    <definedName name="sm3b">'[5]2003'!$D$71</definedName>
    <definedName name="sm3g">'[5]2003'!$D$72</definedName>
    <definedName name="sm3ug">'[5]2003'!$D$76</definedName>
    <definedName name="Snpv">#REF!</definedName>
    <definedName name="Snpvadm">#REF!</definedName>
    <definedName name="Snpvdc">#REF!</definedName>
    <definedName name="Snpvdt">#REF!</definedName>
    <definedName name="Snpvnw">#REF!</definedName>
    <definedName name="SOURCE_AMS">OFFSET(#REF!,0,0,COUNTA(#REF!),COUNTA(#REF!))</definedName>
    <definedName name="source_con">OFFSET(#REF!,0,0,COUNTA(#REF!),COUNTA(#REF!))</definedName>
    <definedName name="ss">'[26]unix-factor'!$D$6</definedName>
    <definedName name="SSD">#REF!</definedName>
    <definedName name="ssem">#REF!</definedName>
    <definedName name="SSN7C">#REF!</definedName>
    <definedName name="stb">'[26]unix-factor'!$E$7</definedName>
    <definedName name="stg">'[26]unix-factor'!$C$7</definedName>
    <definedName name="STI_운영인력" localSheetId="0" hidden="1">{"'Desktop Inventory 현황'!$B$2:$O$35"}</definedName>
    <definedName name="STI_운영인력" hidden="1">{"'Desktop Inventory 현황'!$B$2:$O$35"}</definedName>
    <definedName name="STI할인율" localSheetId="0" hidden="1">{"'Desktop Inventory 현황'!$B$2:$O$35"}</definedName>
    <definedName name="STI할인율" hidden="1">{"'Desktop Inventory 현황'!$B$2:$O$35"}</definedName>
    <definedName name="stot">#REF!</definedName>
    <definedName name="sts">'[26]unix-factor'!$D$7</definedName>
    <definedName name="SUM" localSheetId="0" hidden="1">{"'Desktop Inventory 현황'!$B$2:$O$35"}</definedName>
    <definedName name="SUM" hidden="1">{"'Desktop Inventory 현황'!$B$2:$O$35"}</definedName>
    <definedName name="SUN_1999">'[27]Unix-Memory 단가 총괄'!$H$27</definedName>
    <definedName name="SUN_2000">'[27]Unix-Memory 단가 총괄'!$H$28</definedName>
    <definedName name="SUN_2001">'[27]Unix-Memory 단가 총괄'!$H$29</definedName>
    <definedName name="SUN_2002">'[27]Unix-Memory 단가 총괄'!$H$30</definedName>
    <definedName name="SUN_5">#REF!</definedName>
    <definedName name="SUN_6">[16]총괄표!$I$9</definedName>
    <definedName name="sun_7">#REF!</definedName>
    <definedName name="SUN_MHz_1999">'[27]Unix-MHz 단가 총괄'!$H$25</definedName>
    <definedName name="SUN_MHz_2000">'[27]Unix-MHz 단가 총괄'!$H$26</definedName>
    <definedName name="SUN_MHz_2001">'[27]Unix-MHz 단가 총괄'!$H$27</definedName>
    <definedName name="SUN_MHz_2002">'[27]Unix-MHz 단가 총괄'!$H$28</definedName>
    <definedName name="SUN_rate">#REF!</definedName>
    <definedName name="svmr">#REF!</definedName>
    <definedName name="SVR">'[43]model master'!$A$2:$R$65</definedName>
    <definedName name="svr_arc">'[38]DS상세 (2)'!$I$17</definedName>
    <definedName name="SVRAG">#REF!</definedName>
    <definedName name="SVRDESC">#REF!</definedName>
    <definedName name="SW_MA_rate">#REF!</definedName>
    <definedName name="SW_rate">#REF!</definedName>
    <definedName name="SW_rate2">#REF!</definedName>
    <definedName name="SW_rate3">#REF!</definedName>
    <definedName name="sw합계">'[38]DS상세 (2)'!$H$66</definedName>
    <definedName name="Table2" localSheetId="0" hidden="1">{"'Desktop Inventory 현황'!$B$2:$O$35"}</definedName>
    <definedName name="Table2" hidden="1">{"'Desktop Inventory 현황'!$B$2:$O$35"}</definedName>
    <definedName name="Tan_SW_5">#REF!</definedName>
    <definedName name="Tan_SW_6">[16]총괄표!$I$13</definedName>
    <definedName name="Tan_sw_7">#REF!</definedName>
    <definedName name="TANDEM_1999">'[27]Unix-Memory 단가 총괄'!$H$39</definedName>
    <definedName name="TANDEM_2000">'[27]Unix-Memory 단가 총괄'!$H$40</definedName>
    <definedName name="TANDEM_2001">'[27]Unix-Memory 단가 총괄'!$H$41</definedName>
    <definedName name="TANDEM_2002">'[27]Unix-Memory 단가 총괄'!$H$42</definedName>
    <definedName name="Tandem_5">#REF!</definedName>
    <definedName name="Tandem_6">[16]총괄표!$I$12</definedName>
    <definedName name="Tandem_7">#REF!</definedName>
    <definedName name="TE" localSheetId="0" hidden="1">{"'Desktop Inventory 현황'!$B$2:$O$35"}</definedName>
    <definedName name="TE" hidden="1">{"'Desktop Inventory 현황'!$B$2:$O$35"}</definedName>
    <definedName name="teff">#REF!</definedName>
    <definedName name="time">'[44]IBM UX'!#REF!</definedName>
    <definedName name="tivoli">[13]Tivoli!$H$4:$H$224</definedName>
    <definedName name="TOS">#REF!</definedName>
    <definedName name="tosend">'[45]2_send'!$A$1:$A$65536</definedName>
    <definedName name="TOTAL" hidden="1">{#N/A,#N/A,FALSE,"ALM-ASISC"}</definedName>
    <definedName name="tt" hidden="1">#REF!</definedName>
    <definedName name="TTT">#REF!</definedName>
    <definedName name="Unix">[46]Sheet1!$A$1:$B$584</definedName>
    <definedName name="UNIXDCS">'[36]UNIX(DCS)'!$U$1:$BB$65536</definedName>
    <definedName name="UNIXDS">'[36]UNIX(DS)'!$U$1:$BB$65536</definedName>
    <definedName name="unix단가표">#REF!</definedName>
    <definedName name="UXAA1">#REF!</definedName>
    <definedName name="UXAA2">#REF!</definedName>
    <definedName name="UXAA3">#REF!</definedName>
    <definedName name="UXAA4">#REF!</definedName>
    <definedName name="UXAA5">#REF!</definedName>
    <definedName name="uxrt">#REF!</definedName>
    <definedName name="UX추이">[12]추이!$A$5:$E$53</definedName>
    <definedName name="VAT">#REF!</definedName>
    <definedName name="vbkjwhe" hidden="1">{#N/A,#N/A,FALSE,"ALM-ASISC"}</definedName>
    <definedName name="vdsvs" hidden="1">{"'Desktop Inventory 현황'!$B$2:$O$35"}</definedName>
    <definedName name="vdwf" hidden="1">{#N/A,#N/A,FALSE,"ALM-ASISC"}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vv">[21]총괄표!$I$10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ACC">[47]INPUTAREA!$C$24</definedName>
    <definedName name="wd" hidden="1">{#N/A,#N/A,FALSE,"ALM-ASISC"}</definedName>
    <definedName name="wdqdearrdqwe" localSheetId="0" hidden="1">{"'Desktop Inventory 현황'!$B$2:$O$35"}</definedName>
    <definedName name="wdqdearrdqwe" hidden="1">{"'Desktop Inventory 현황'!$B$2:$O$35"}</definedName>
    <definedName name="werwe" hidden="1">{#N/A,#N/A,FALSE,"ALM-ASISC"}</definedName>
    <definedName name="wh">'[13]SL Master(워커힐)'!$A$1:$G$46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>#REF!</definedName>
    <definedName name="www">#REF!</definedName>
    <definedName name="x" hidden="1">#REF!</definedName>
    <definedName name="YY" hidden="1">{"'Desktop Inventory 현황'!$B$2:$O$35"}</definedName>
    <definedName name="z" hidden="1">#REF!</definedName>
    <definedName name="zzz">#REF!</definedName>
    <definedName name="ㄱ" hidden="1">{#N/A,#N/A,FALSE,"3가";#N/A,#N/A,FALSE,"3나";#N/A,#N/A,FALSE,"3다"}</definedName>
    <definedName name="ㄱㄱㄱ" localSheetId="0" hidden="1">{"'Desktop Inventory 현황'!$B$2:$O$35"}</definedName>
    <definedName name="ㄱㄱㄱ" hidden="1">{"'Desktop Inventory 현황'!$B$2:$O$35"}</definedName>
    <definedName name="ㄱ쇽">'[48]Oper Amount'!#REF!</definedName>
    <definedName name="ㄱ쇽쇼">#REF!</definedName>
    <definedName name="ㄱ쇽쇼굑">#REF!</definedName>
    <definedName name="ㄱ쇽쇽">#REF!</definedName>
    <definedName name="ㄱ쇽쇽쇼">#REF!</definedName>
    <definedName name="ㄱㅎㄷㄱㅎ" hidden="1">{#N/A,#N/A,FALSE,"ALM-ASISC"}</definedName>
    <definedName name="가" localSheetId="0" hidden="1">{#N/A,#N/A,FALSE,"ALM-ASISC"}</definedName>
    <definedName name="가" hidden="1">{#N/A,#N/A,FALSE,"ALM-ASISC"}</definedName>
    <definedName name="가2" hidden="1">{#N/A,#N/A,FALSE,"3가";#N/A,#N/A,FALSE,"3나";#N/A,#N/A,FALSE,"3다"}</definedName>
    <definedName name="감가상각률">#REF!</definedName>
    <definedName name="개발" localSheetId="0" hidden="1">{"'Desktop Inventory 현황'!$B$2:$O$35"}</definedName>
    <definedName name="개발" hidden="1">{"'Desktop Inventory 현황'!$B$2:$O$35"}</definedName>
    <definedName name="개선전환비율">[2]이름표!$B$4</definedName>
    <definedName name="계획표">#REF!</definedName>
    <definedName name="고객사및사업명">#REF!</definedName>
    <definedName name="고객사별Site별부서별_수량">#REF!</definedName>
    <definedName name="공사설명서" hidden="1">{#N/A,#N/A,FALSE,"ALM-ASISC"}</definedName>
    <definedName name="국소수_서울">#REF!</definedName>
    <definedName name="기공" hidden="1">'[49](실사조정)총괄'!#REF!</definedName>
    <definedName name="기본2" hidden="1">#REF!</definedName>
    <definedName name="기준Factor_SRC" hidden="1">{"'Desktop Inventory 현황'!$B$2:$O$35"}</definedName>
    <definedName name="기준환율">#REF!</definedName>
    <definedName name="기타_5">#REF!</definedName>
    <definedName name="기타_6">[16]총괄표!$I$14</definedName>
    <definedName name="기타_7">#REF!</definedName>
    <definedName name="ㄴ" hidden="1">#REF!</definedName>
    <definedName name="ㄴㄴㄴ">#REF!</definedName>
    <definedName name="ㄴㄹ" hidden="1">{#N/A,#N/A,FALSE,"ALM-ASISC"}</definedName>
    <definedName name="ㄴㅁㅇㅁ">#REF!</definedName>
    <definedName name="ㄴㅇ">#REF!</definedName>
    <definedName name="ㄴㅇㄹㄴㅇㄹ">#REF!</definedName>
    <definedName name="ㄴㅇㄹㅇㄹ">#REF!</definedName>
    <definedName name="ㄴ아러" hidden="1">{#N/A,#N/A,FALSE,"ALM-ASISC"}</definedName>
    <definedName name="나" localSheetId="0" hidden="1">{#N/A,#N/A,FALSE,"ALM-ASISC"}</definedName>
    <definedName name="나" hidden="1">{#N/A,#N/A,FALSE,"ALM-ASISC"}</definedName>
    <definedName name="납기1">[33]IN!$B$5</definedName>
    <definedName name="납기2">[50]IN!$B$5</definedName>
    <definedName name="납기3">[33]IN!$D$5</definedName>
    <definedName name="납기4">[50]IN!$D$5</definedName>
    <definedName name="ㄷ">#REF!</definedName>
    <definedName name="ㄷ가" hidden="1">{#N/A,#N/A,FALSE,"ALM-ASISC"}</definedName>
    <definedName name="ㄷㅈ2ㅄ" hidden="1">{#N/A,#N/A,FALSE,"ALM-ASISC"}</definedName>
    <definedName name="다" localSheetId="0" hidden="1">{#N/A,#N/A,FALSE,"ALM-ASISC"}</definedName>
    <definedName name="다" hidden="1">{#N/A,#N/A,FALSE,"ALM-ASISC"}</definedName>
    <definedName name="단가">#REF!</definedName>
    <definedName name="대구_공사비2" hidden="1">{#N/A,#N/A,FALSE,"ALM-ASISC"}</definedName>
    <definedName name="대구486D">#REF!</definedName>
    <definedName name="도">#REF!</definedName>
    <definedName name="도입장비가격2" hidden="1">{"'Desktop Inventory 현황'!$B$2:$O$35"}</definedName>
    <definedName name="두지" hidden="1">{#N/A,#N/A,FALSE,"ALM-ASISC"}</definedName>
    <definedName name="둑ㅈ" hidden="1">{#N/A,#N/A,FALSE,"ALM-ASISC"}</definedName>
    <definedName name="ㄹ">#REF!</definedName>
    <definedName name="ㄹㄹ">'[31]Oper Amount'!#REF!</definedName>
    <definedName name="ㄹㄹㄹ" localSheetId="0" hidden="1">{"'Desktop Inventory 현황'!$B$2:$O$35"}</definedName>
    <definedName name="ㄹㄹㄹ" hidden="1">{"'Desktop Inventory 현황'!$B$2:$O$35"}</definedName>
    <definedName name="ㄹㄹㄹㄹ" hidden="1">{#N/A,#N/A,FALSE,"ALM-ASISC"}</definedName>
    <definedName name="ㄹㄹㄹㅇㅇ">#REF!</definedName>
    <definedName name="ㄹㅇㅁㄴㄹ" hidden="1">{#N/A,#N/A,FALSE,"3가";#N/A,#N/A,FALSE,"3나";#N/A,#N/A,FALSE,"3다"}</definedName>
    <definedName name="ㄹㅇㅎㅎ" hidden="1">{"'Desktop Inventory 현황'!$B$2:$O$35"}</definedName>
    <definedName name="라" hidden="1">{#N/A,#N/A,FALSE,"ALM-ASISC"}</definedName>
    <definedName name="라2" hidden="1">{#N/A,#N/A,FALSE,"ALM-ASISC"}</definedName>
    <definedName name="룰" hidden="1">{#N/A,#N/A,FALSE,"3가";#N/A,#N/A,FALSE,"3나";#N/A,#N/A,FALSE,"3다"}</definedName>
    <definedName name="ㄻㄹ" hidden="1">{#N/A,#N/A,FALSE,"3가";#N/A,#N/A,FALSE,"3나";#N/A,#N/A,FALSE,"3다"}</definedName>
    <definedName name="ㅀㄹㅇ">'[48]Oper Amount'!#REF!</definedName>
    <definedName name="ㅁㄴ">#REF!</definedName>
    <definedName name="ㅁㄴㅇㅁㄴㅇㅁ">#REF!</definedName>
    <definedName name="ㅁㄻㄴㄹ" hidden="1">{#N/A,#N/A,FALSE,"3가";#N/A,#N/A,FALSE,"3나";#N/A,#N/A,FALSE,"3다"}</definedName>
    <definedName name="ㅁㅁ" localSheetId="0" hidden="1">{"'Desktop Inventory 현황'!$B$2:$O$35"}</definedName>
    <definedName name="ㅁㅁ" hidden="1">{"'Desktop Inventory 현황'!$B$2:$O$35"}</definedName>
    <definedName name="ㅁㅁㅁ">#REF!</definedName>
    <definedName name="마" hidden="1">{#N/A,#N/A,FALSE,"ALM-ASISC"}</definedName>
    <definedName name="메롱" localSheetId="1">#REF!:_RjC2</definedName>
    <definedName name="메롱">#REF!:_RjC2</definedName>
    <definedName name="멜론" hidden="1">{#N/A,#N/A,FALSE,"3가";#N/A,#N/A,FALSE,"3나";#N/A,#N/A,FALSE,"3다"}</definedName>
    <definedName name="뭐냐" localSheetId="0" hidden="1">{"'Desktop Inventory 현황'!$B$2:$O$35"}</definedName>
    <definedName name="뭐냐" hidden="1">{"'Desktop Inventory 현황'!$B$2:$O$35"}</definedName>
    <definedName name="ㅂ" hidden="1">{"'Desktop Inventory 현황'!$B$2:$O$35"}</definedName>
    <definedName name="ㅂㅂ" hidden="1">{"'Desktop Inventory 현황'!$B$2:$O$35"}</definedName>
    <definedName name="ㅂㅂㅂ">#REF!</definedName>
    <definedName name="ㅂㅂㅂㅂㅂ" hidden="1">{#N/A,#N/A,FALSE,"3가";#N/A,#N/A,FALSE,"3나";#N/A,#N/A,FALSE,"3다"}</definedName>
    <definedName name="ㅂㅈ">#REF!</definedName>
    <definedName name="바" hidden="1">{#N/A,#N/A,FALSE,"ALM-ASISC"}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ㅅ" localSheetId="0" hidden="1">{"'Desktop Inventory 현황'!$B$2:$O$35"}</definedName>
    <definedName name="ㅅ" hidden="1">{"'Desktop Inventory 현황'!$B$2:$O$35"}</definedName>
    <definedName name="ㅅ교">'[51]DS-최종'!$J$4</definedName>
    <definedName name="ㅅ굣교ㅗ">[52]DS_2Q!$J$3</definedName>
    <definedName name="ㅅㅅ" hidden="1">{"'Desktop Inventory 현황'!$B$2:$O$35"}</definedName>
    <definedName name="ㅅㅅㅅ" hidden="1">{"'Desktop Inventory 현황'!$B$2:$O$35"}</definedName>
    <definedName name="사" hidden="1">{#N/A,#N/A,FALSE,"ALM-ASISC"}</definedName>
    <definedName name="서버2" hidden="1">{"'Desktop Inventory 현황'!$B$2:$O$35"}</definedName>
    <definedName name="서비스요금">#REF!</definedName>
    <definedName name="성장률">#REF!</definedName>
    <definedName name="소모품_Rate">#REF!</definedName>
    <definedName name="쇽">#REF!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신규회선" hidden="1">{"'Desktop Inventory 현황'!$B$2:$O$35"}</definedName>
    <definedName name="신규회ㅓㄴ" hidden="1">{"'Desktop Inventory 현황'!$B$2:$O$35"}</definedName>
    <definedName name="신설변경" hidden="1">{#N/A,#N/A,FALSE,"3가";#N/A,#N/A,FALSE,"3나";#N/A,#N/A,FALSE,"3다"}</definedName>
    <definedName name="ㅇ">#REF!</definedName>
    <definedName name="ㅇ45">#REF!</definedName>
    <definedName name="ㅇㄴㄹㄴㅇㄹ">[52]DS_2Q!$J$3</definedName>
    <definedName name="ㅇ나닐ㄷ" hidden="1">{#N/A,#N/A,FALSE,"ALM-ASISC"}</definedName>
    <definedName name="ㅇㄷㄹㄹ" localSheetId="0" hidden="1">{"'Desktop Inventory 현황'!$B$2:$O$35"}</definedName>
    <definedName name="ㅇㄷㄹㄹ" hidden="1">{"'Desktop Inventory 현황'!$B$2:$O$35"}</definedName>
    <definedName name="ㅇㄹㄴㄹ">#REF!</definedName>
    <definedName name="ㅇㄹㄹ" hidden="1">{#N/A,#N/A,FALSE,"3가";#N/A,#N/A,FALSE,"3나";#N/A,#N/A,FALSE,"3다"}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" localSheetId="0" hidden="1">{"'Desktop Inventory 현황'!$B$2:$O$35"}</definedName>
    <definedName name="ㅇㅇ" hidden="1">{"'Desktop Inventory 현황'!$B$2:$O$35"}</definedName>
    <definedName name="ㅇㅇㄹㅈㅈ" hidden="1">{#N/A,#N/A,FALSE,"ALM-ASISC"}</definedName>
    <definedName name="ㅇㅇㅇ" localSheetId="0" hidden="1">{"'Desktop Inventory 현황'!$B$2:$O$35"}</definedName>
    <definedName name="ㅇㅇㅇ" hidden="1">{"'Desktop Inventory 현황'!$B$2:$O$35"}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연간_T.E.F._추정">#REF!</definedName>
    <definedName name="연월차조서">#REF!</definedName>
    <definedName name="요율">#REF!</definedName>
    <definedName name="요율1">'[53]견적서 N'!#REF!</definedName>
    <definedName name="운영" localSheetId="0" hidden="1">{"'Desktop Inventory 현황'!$B$2:$O$35"}</definedName>
    <definedName name="운영" hidden="1">{"'Desktop Inventory 현황'!$B$2:$O$35"}</definedName>
    <definedName name="운영비증가율">[1]기준정보!$B$9</definedName>
    <definedName name="월요금">#REF!</definedName>
    <definedName name="이름" hidden="1">#REF!</definedName>
    <definedName name="이름1">#REF!</definedName>
    <definedName name="이자율">#REF!</definedName>
    <definedName name="익우러" localSheetId="0" hidden="1">{"'Desktop Inventory 현황'!$B$2:$O$35"}</definedName>
    <definedName name="익우러" hidden="1">{"'Desktop Inventory 현황'!$B$2:$O$35"}</definedName>
    <definedName name="인정이자율">[23]INPUTAREA!$C$20</definedName>
    <definedName name="인정이자율1">[54]inputarea_ref!$R$5</definedName>
    <definedName name="인정이자율99">#REF!</definedName>
    <definedName name="일반현황__2_">#REF!</definedName>
    <definedName name="잊" hidden="1">{#N/A,#N/A,FALSE,"ALM-ASISC"}</definedName>
    <definedName name="ㅈ" hidden="1">{#N/A,#N/A,FALSE,"ALM-ASISC"}</definedName>
    <definedName name="ㅈㄷㄷㄷㅈ" hidden="1">{"'Desktop Inventory 현황'!$B$2:$O$35"}</definedName>
    <definedName name="ㅈㅂㄷㅈㅂㄷ" hidden="1">{#N/A,#N/A,FALSE,"ALM-ASISC"}</definedName>
    <definedName name="ㅈㅈㅈㅈㅈ" hidden="1">{"'Desktop Inventory 현황'!$B$2:$O$35"}</definedName>
    <definedName name="자" hidden="1">{#N/A,#N/A,FALSE,"ALM-ASISC"}</definedName>
    <definedName name="자ㅓㄷ" hidden="1">{#N/A,#N/A,FALSE,"ALM-ASISC"}</definedName>
    <definedName name="재료집계3">#REF!</definedName>
    <definedName name="전기출력2">[55]ELEC!$B$3:$M$3,[55]ELEC!$B$4:$M$4,[55]ELEC!$B$5:$M$5,[55]ELEC!$B$7:$M$7</definedName>
    <definedName name="전기출력3">[55]ELEC!$B$3:$M$3,[55]ELEC!$B$6:$M$6,[55]ELEC!$B$8:$M$8</definedName>
    <definedName name="절삭">#REF!</definedName>
    <definedName name="정" hidden="1">{#N/A,#N/A,FALSE,"ALM-ASISC"}</definedName>
    <definedName name="정승희대리제출분" localSheetId="0" hidden="1">{"'Desktop Inventory 현황'!$B$2:$O$35"}</definedName>
    <definedName name="정승희대리제출분" hidden="1">{"'Desktop Inventory 현황'!$B$2:$O$35"}</definedName>
    <definedName name="제주추가종합수정안" hidden="1">{#N/A,#N/A,FALSE,"3가";#N/A,#N/A,FALSE,"3나";#N/A,#N/A,FALSE,"3다"}</definedName>
    <definedName name="조별유형" hidden="1">#REF!</definedName>
    <definedName name="조정표" localSheetId="0" hidden="1">{"'Desktop Inventory 현황'!$B$2:$O$35"}</definedName>
    <definedName name="조정표" hidden="1">{"'Desktop Inventory 현황'!$B$2:$O$35"}</definedName>
    <definedName name="중계기현황">#REF!</definedName>
    <definedName name="중부" hidden="1">{#N/A,#N/A,FALSE,"3가";#N/A,#N/A,FALSE,"3나";#N/A,#N/A,FALSE,"3다"}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참조" localSheetId="0" hidden="1">{"'Desktop Inventory 현황'!$B$2:$O$35"}</definedName>
    <definedName name="참조" hidden="1">{"'Desktop Inventory 현황'!$B$2:$O$35"}</definedName>
    <definedName name="총괄11" hidden="1">{#N/A,#N/A,FALSE,"3가";#N/A,#N/A,FALSE,"3나";#N/A,#N/A,FALSE,"3다"}</definedName>
    <definedName name="추공내역서" hidden="1">#REF!</definedName>
    <definedName name="충남신설">#REF!</definedName>
    <definedName name="충북신설">#REF!</definedName>
    <definedName name="ㅋ" hidden="1">{#N/A,#N/A,FALSE,"ALM-ASISC"}</definedName>
    <definedName name="ㅋㅋㅋ" localSheetId="0" hidden="1">{"'Desktop Inventory 현황'!$B$2:$O$35"}</definedName>
    <definedName name="ㅋㅋㅋ" hidden="1">{"'Desktop Inventory 현황'!$B$2:$O$35"}</definedName>
    <definedName name="카" hidden="1">{#N/A,#N/A,FALSE,"ALM-ASISC"}</definedName>
    <definedName name="ㅌ" hidden="1">{#N/A,#N/A,FALSE,"ALM-ASISC"}</definedName>
    <definedName name="타" hidden="1">{#N/A,#N/A,FALSE,"ALM-ASISC"}</definedName>
    <definedName name="통신" hidden="1">{#N/A,#N/A,FALSE,"3가";#N/A,#N/A,FALSE,"3나";#N/A,#N/A,FALSE,"3다"}</definedName>
    <definedName name="통신공사" hidden="1">{#N/A,#N/A,FALSE,"3가";#N/A,#N/A,FALSE,"3나";#N/A,#N/A,FALSE,"3다"}</definedName>
    <definedName name="특별시방서1" hidden="1">{#N/A,#N/A,FALSE,"ALM-ASISC"}</definedName>
    <definedName name="팀별_2" localSheetId="0" hidden="1">{"'Desktop Inventory 현황'!$B$2:$O$35"}</definedName>
    <definedName name="팀별_2" hidden="1">{"'Desktop Inventory 현황'!$B$2:$O$35"}</definedName>
    <definedName name="ㅍ" hidden="1">{#N/A,#N/A,FALSE,"3가";#N/A,#N/A,FALSE,"3나";#N/A,#N/A,FALSE,"3다"}</definedName>
    <definedName name="ㅍㅌㅊ">#REF!</definedName>
    <definedName name="ㅍㅍㅍ">#REF!</definedName>
    <definedName name="파" hidden="1">{#N/A,#N/A,FALSE,"ALM-ASISC"}</definedName>
    <definedName name="평균시간">'[22]AWS Resource 내역(Share Account)'!$C$4</definedName>
    <definedName name="ㅎ">#REF!</definedName>
    <definedName name="ㅎㄹ">#REF!</definedName>
    <definedName name="ㅎㄹㅇ">'[51]DS-최종'!$J$4</definedName>
    <definedName name="ㅎㅎㅎ">#REF!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호" hidden="1">{"'Desktop Inventory 현황'!$B$2:$O$35"}</definedName>
    <definedName name="호스트IDS" hidden="1">{"'Desktop Inventory 현황'!$B$2:$O$35"}</definedName>
    <definedName name="홎ㅅㄱ도" hidden="1">{#N/A,#N/A,FALSE,"ALM-ASISC"}</definedName>
    <definedName name="환율">'[22]AWS Resource 내역(Share Account)'!$C$3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ㅏㅏ">#REF!</definedName>
    <definedName name="ㅏㅣㄴ" hidden="1">{#N/A,#N/A,FALSE,"ALM-ASISC"}</definedName>
    <definedName name="ㅏㅣㄷ" hidden="1">{#N/A,#N/A,FALSE,"ALM-ASISC"}</definedName>
    <definedName name="ㅑㅐ" hidden="1">{#N/A,#N/A,FALSE,"ALM-ASISC"}</definedName>
    <definedName name="ㅓ아ㅣㄷ" hidden="1">{#N/A,#N/A,FALSE,"ALM-ASISC"}</definedName>
    <definedName name="ㅗㄷ">#REF!</definedName>
    <definedName name="ㅗㅎ">#REF!</definedName>
    <definedName name="ㅗㅎㄷ">#REF!</definedName>
    <definedName name="ㅛㅗ로">#REF!</definedName>
    <definedName name="ㅛㅗㅂ좆" hidden="1">#REF!</definedName>
    <definedName name="ㅜ" hidden="1">{#N/A,#N/A,FALSE,"ALM-ASISC"}</definedName>
    <definedName name="ㅜ다" hidden="1">{#N/A,#N/A,FALSE,"ALM-ASISC"}</definedName>
    <definedName name="ㅜㅇ" hidden="1">{#N/A,#N/A,FALSE,"3가";#N/A,#N/A,FALSE,"3나";#N/A,#N/A,FALSE,"3다"}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ㅡ" hidden="1">{#N/A,#N/A,FALSE,"ALM-ASISC"}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" l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F23" i="20" l="1"/>
  <c r="J8" i="3"/>
  <c r="K8" i="3" s="1"/>
  <c r="J10" i="3"/>
  <c r="K10" i="3" s="1"/>
  <c r="J9" i="3"/>
  <c r="K9" i="3" s="1"/>
  <c r="J7" i="3"/>
  <c r="K7" i="3" s="1"/>
  <c r="G23" i="20" l="1"/>
  <c r="J25" i="3" l="1"/>
  <c r="K25" i="3" s="1"/>
  <c r="K26" i="3" s="1"/>
  <c r="J20" i="3" l="1"/>
  <c r="K20" i="3" s="1"/>
  <c r="K24" i="3" s="1"/>
  <c r="F17" i="20" s="1"/>
  <c r="K27" i="3" l="1"/>
  <c r="F16" i="20"/>
  <c r="F18" i="20"/>
  <c r="G18" i="20" s="1"/>
  <c r="G17" i="20" l="1"/>
  <c r="G16" i="20"/>
  <c r="F21" i="20" l="1"/>
  <c r="G21" i="20" s="1"/>
  <c r="F22" i="20"/>
  <c r="G22" i="20" s="1"/>
  <c r="F19" i="20"/>
  <c r="G19" i="20" s="1"/>
  <c r="G20" i="20" s="1"/>
  <c r="F24" i="20" l="1"/>
  <c r="F20" i="20"/>
  <c r="G24" i="20"/>
  <c r="G26" i="20" s="1"/>
  <c r="F26" i="20" l="1"/>
  <c r="F27" i="20" s="1"/>
  <c r="G27" i="20"/>
</calcChain>
</file>

<file path=xl/sharedStrings.xml><?xml version="1.0" encoding="utf-8"?>
<sst xmlns="http://schemas.openxmlformats.org/spreadsheetml/2006/main" count="142" uniqueCount="99">
  <si>
    <t>No.</t>
    <phoneticPr fontId="4" type="noConversion"/>
  </si>
  <si>
    <t>품목 및 사양</t>
    <phoneticPr fontId="4" type="noConversion"/>
  </si>
  <si>
    <t>비고</t>
    <phoneticPr fontId="4" type="noConversion"/>
  </si>
  <si>
    <t>환율</t>
    <phoneticPr fontId="3" type="noConversion"/>
  </si>
  <si>
    <t>수량</t>
    <phoneticPr fontId="3" type="noConversion"/>
  </si>
  <si>
    <t>단위</t>
    <phoneticPr fontId="3" type="noConversion"/>
  </si>
  <si>
    <t>서비스 명</t>
    <phoneticPr fontId="3" type="noConversion"/>
  </si>
  <si>
    <t>상세 Spec</t>
    <phoneticPr fontId="3" type="noConversion"/>
  </si>
  <si>
    <t>ea</t>
    <phoneticPr fontId="3" type="noConversion"/>
  </si>
  <si>
    <t>유형</t>
    <phoneticPr fontId="4" type="noConversion"/>
  </si>
  <si>
    <t>見   積   書</t>
    <phoneticPr fontId="4" type="noConversion"/>
  </si>
  <si>
    <t>공
급
자</t>
    <phoneticPr fontId="4" type="noConversion"/>
  </si>
  <si>
    <t>등록번호</t>
    <phoneticPr fontId="4" type="noConversion"/>
  </si>
  <si>
    <t xml:space="preserve">  783-85-00169</t>
    <phoneticPr fontId="4" type="noConversion"/>
  </si>
  <si>
    <t>견 적 번 호 : 가견적</t>
    <phoneticPr fontId="4" type="noConversion"/>
  </si>
  <si>
    <t>상       호</t>
    <phoneticPr fontId="4" type="noConversion"/>
  </si>
  <si>
    <t xml:space="preserve">  SK㈜</t>
    <phoneticPr fontId="4" type="noConversion"/>
  </si>
  <si>
    <t>대표자명</t>
    <phoneticPr fontId="4" type="noConversion"/>
  </si>
  <si>
    <t>견적 유효 기간 : 견적일로부터 30일</t>
    <phoneticPr fontId="4" type="noConversion"/>
  </si>
  <si>
    <t>주       소</t>
    <phoneticPr fontId="4" type="noConversion"/>
  </si>
  <si>
    <t xml:space="preserve">  성남시 분당구 성남대로 343번길 9</t>
    <phoneticPr fontId="4" type="noConversion"/>
  </si>
  <si>
    <t>납         기 : 별도 협의</t>
    <phoneticPr fontId="4" type="noConversion"/>
  </si>
  <si>
    <t>업       태</t>
    <phoneticPr fontId="4" type="noConversion"/>
  </si>
  <si>
    <t xml:space="preserve">  서비스(사업관련)</t>
    <phoneticPr fontId="4" type="noConversion"/>
  </si>
  <si>
    <t>종       목</t>
    <phoneticPr fontId="4" type="noConversion"/>
  </si>
  <si>
    <t xml:space="preserve">  기타정보처리및컴퓨터 운용관련</t>
    <phoneticPr fontId="4" type="noConversion"/>
  </si>
  <si>
    <t xml:space="preserve">제   목 : </t>
    <phoneticPr fontId="4" type="noConversion"/>
  </si>
  <si>
    <t>(금액단위 : 원/VAT 별도)</t>
    <phoneticPr fontId="4" type="noConversion"/>
  </si>
  <si>
    <t>수량
(개월)</t>
    <phoneticPr fontId="4" type="noConversion"/>
  </si>
  <si>
    <t>총 공급금액
(1년 간)</t>
    <phoneticPr fontId="4" type="noConversion"/>
  </si>
  <si>
    <t>Cloud 사용료</t>
    <phoneticPr fontId="3" type="noConversion"/>
  </si>
  <si>
    <t>※ Remark</t>
    <phoneticPr fontId="3" type="noConversion"/>
  </si>
  <si>
    <t>Azure
Resource</t>
    <phoneticPr fontId="3" type="noConversion"/>
  </si>
  <si>
    <t>Azure Resource 합계</t>
    <phoneticPr fontId="3" type="noConversion"/>
  </si>
  <si>
    <t>MSP 운영비 합계</t>
    <phoneticPr fontId="3" type="noConversion"/>
  </si>
  <si>
    <t>이하 여백</t>
    <phoneticPr fontId="3" type="noConversion"/>
  </si>
  <si>
    <t>Price
($/Month)</t>
    <phoneticPr fontId="3" type="noConversion"/>
  </si>
  <si>
    <t>Price
(\/Month)</t>
    <phoneticPr fontId="3" type="noConversion"/>
  </si>
  <si>
    <t>C&amp;C 공급금액
(\/Month)</t>
    <phoneticPr fontId="3" type="noConversion"/>
  </si>
  <si>
    <t>- 상기 비용은 실 사용량 및 환율 변동에 따라 금액이 변동될 수 있음.</t>
    <phoneticPr fontId="3" type="noConversion"/>
  </si>
  <si>
    <t>월 공급금액</t>
    <phoneticPr fontId="4" type="noConversion"/>
  </si>
  <si>
    <t>Azure Support Plan</t>
    <phoneticPr fontId="3" type="noConversion"/>
  </si>
  <si>
    <t>Storage</t>
    <phoneticPr fontId="3" type="noConversion"/>
  </si>
  <si>
    <t>- 본 견적 금액은 상기 서비스 항목에 대한 자원 공급 금액이며(자원 생성/관리 등의 Managed Service 비용은 제외), 상기 내역 기준에서 기술되지 않은 서비스/기능 및 자원 Spec./수량 등의 변경 시(추가/삭제 등) 견적 금액 재산정이 필요함.</t>
    <phoneticPr fontId="3" type="noConversion"/>
  </si>
  <si>
    <t>SK Enterprise Support for Azure - SKN 계열 통합 과금</t>
    <phoneticPr fontId="3" type="noConversion"/>
  </si>
  <si>
    <t>Server</t>
    <phoneticPr fontId="3" type="noConversion"/>
  </si>
  <si>
    <t>Server 및 DBMS</t>
    <phoneticPr fontId="3" type="noConversion"/>
  </si>
  <si>
    <t>Server 및 DBMS 합계 :</t>
    <phoneticPr fontId="4" type="noConversion"/>
  </si>
  <si>
    <t>모니터링</t>
    <phoneticPr fontId="3" type="noConversion"/>
  </si>
  <si>
    <t>모니터링 서비스</t>
    <phoneticPr fontId="3" type="noConversion"/>
  </si>
  <si>
    <t>DataDog</t>
    <phoneticPr fontId="3" type="noConversion"/>
  </si>
  <si>
    <t>Infra 모니터링</t>
    <phoneticPr fontId="3" type="noConversion"/>
  </si>
  <si>
    <t>VM, k8s Node(Host)</t>
    <phoneticPr fontId="3" type="noConversion"/>
  </si>
  <si>
    <t xml:space="preserve">모니터링 합계 : </t>
    <phoneticPr fontId="4" type="noConversion"/>
  </si>
  <si>
    <t>Type</t>
    <phoneticPr fontId="3" type="noConversion"/>
  </si>
  <si>
    <t>Backup</t>
    <phoneticPr fontId="3" type="noConversion"/>
  </si>
  <si>
    <t>Azure Backup</t>
    <phoneticPr fontId="3" type="noConversion"/>
  </si>
  <si>
    <t>Backup Policy</t>
    <phoneticPr fontId="3" type="noConversion"/>
  </si>
  <si>
    <t>평균 월간 백업 데이터</t>
  </si>
  <si>
    <t>평균 월간 스냅샷 사용량 데이터</t>
    <phoneticPr fontId="3" type="noConversion"/>
  </si>
  <si>
    <t>모니터링(Datadog)</t>
    <phoneticPr fontId="3" type="noConversion"/>
  </si>
  <si>
    <t>Expert Infra</t>
    <phoneticPr fontId="3" type="noConversion"/>
  </si>
  <si>
    <t>DB/MW/3rd Party 운영비용</t>
    <phoneticPr fontId="3" type="noConversion"/>
  </si>
  <si>
    <t>Cloud 사용료의 21%</t>
    <phoneticPr fontId="3" type="noConversion"/>
  </si>
  <si>
    <t>Enterprise IT Management</t>
  </si>
  <si>
    <t>Cloud 사용료의 7%</t>
    <phoneticPr fontId="3" type="noConversion"/>
  </si>
  <si>
    <t>IaaS Management (Premium)</t>
    <phoneticPr fontId="3" type="noConversion"/>
  </si>
  <si>
    <t>MSP
운영비</t>
    <phoneticPr fontId="3" type="noConversion"/>
  </si>
  <si>
    <t>-Azure Resource List Price의 10% 할인 적용
(Pay-as-you-go 상품에 한하며, RI상품은 5%할인 적용됨)</t>
    <phoneticPr fontId="3" type="noConversion"/>
  </si>
  <si>
    <t>사용료 합계(부가세 별도)</t>
    <phoneticPr fontId="4" type="noConversion"/>
  </si>
  <si>
    <t>최종 사용료 - 최종 계약금(VAT 별도)</t>
    <phoneticPr fontId="4" type="noConversion"/>
  </si>
  <si>
    <t>기타 자원(Backup 등)</t>
    <phoneticPr fontId="3" type="noConversion"/>
  </si>
  <si>
    <t>Network 및 기타자원 합계 :</t>
    <phoneticPr fontId="4" type="noConversion"/>
  </si>
  <si>
    <t>Azure Cache for Redis</t>
    <phoneticPr fontId="3" type="noConversion"/>
  </si>
  <si>
    <t>Azure VM, 인스턴스 3개 x 500GB</t>
    <phoneticPr fontId="3" type="noConversion"/>
  </si>
  <si>
    <t xml:space="preserve">일일 백업 보존 기간 : 30일 / 스냅샷 유지 기간 : 1일 / GRS </t>
    <phoneticPr fontId="3" type="noConversion"/>
  </si>
  <si>
    <t>2,850GB</t>
    <phoneticPr fontId="3" type="noConversion"/>
  </si>
  <si>
    <t>45GB</t>
    <phoneticPr fontId="3" type="noConversion"/>
  </si>
  <si>
    <t>기타자원</t>
    <phoneticPr fontId="3" type="noConversion"/>
  </si>
  <si>
    <t>총 합계(백신제외) :</t>
    <phoneticPr fontId="4" type="noConversion"/>
  </si>
  <si>
    <t>회   사   명 : SK렌터카</t>
    <phoneticPr fontId="4" type="noConversion"/>
  </si>
  <si>
    <t>AKS</t>
    <phoneticPr fontId="3" type="noConversion"/>
  </si>
  <si>
    <t>Standard 계층, C1(1,024캐시) 인스턴스 1개 x 730시간</t>
    <phoneticPr fontId="3" type="noConversion"/>
  </si>
  <si>
    <t>Storage Accounts</t>
    <phoneticPr fontId="3" type="noConversion"/>
  </si>
  <si>
    <t>블록 Blob Storage, 범용 V2, 계층 구조 네임스페이스, ZRS 중복도, 핫 액세스 계층, 1 TB 용량 - 용량제, 10 x 10,000개 쓰기 작업, 10 x 10,000개 읽기 작업, 10 x 10,000개 반복 읽기 작업, 10 x 100개 반복 쓰기 작업, 1,000 GB 데이터 검색, 1,000 GB 데이터 쓰기, SFTP 사용 안 함, 1,000 GB 인덱스, 1 x 10,000개 기타 작업</t>
    <phoneticPr fontId="3" type="noConversion"/>
  </si>
  <si>
    <t>Standard 계층, C0(250캐시) 인스턴스 1개 x 730시간</t>
    <phoneticPr fontId="3" type="noConversion"/>
  </si>
  <si>
    <t xml:space="preserve">- DB Expert Infra 수량 0EA (개발0/운영0)
</t>
    <phoneticPr fontId="3" type="noConversion"/>
  </si>
  <si>
    <t>견 적 날 짜 : 2026년  1월  6일</t>
    <phoneticPr fontId="4" type="noConversion"/>
  </si>
  <si>
    <t xml:space="preserve">  김완종 (직인생략)</t>
    <phoneticPr fontId="4" type="noConversion"/>
  </si>
  <si>
    <t>SKR 26년 경매, 공매 Infra 환경 구축</t>
    <phoneticPr fontId="3" type="noConversion"/>
  </si>
  <si>
    <t>Cloud 세부내역 : SKR 26년 경매, 공매 Infra 환경 구축</t>
    <phoneticPr fontId="4" type="noConversion"/>
  </si>
  <si>
    <t>공매(운영)</t>
    <phoneticPr fontId="3" type="noConversion"/>
  </si>
  <si>
    <t>Load Balancer</t>
    <phoneticPr fontId="3" type="noConversion"/>
  </si>
  <si>
    <t>Load Balancer</t>
    <phoneticPr fontId="43" type="noConversion"/>
  </si>
  <si>
    <t>공매(개발)</t>
    <phoneticPr fontId="3" type="noConversion"/>
  </si>
  <si>
    <t>경매(개발)</t>
    <phoneticPr fontId="3" type="noConversion"/>
  </si>
  <si>
    <t>D4s v4(4 vCPU, 16GB RAM) 2노드, Linux; 관리형 OS
OS 디스크 – E10 (128GB)</t>
    <phoneticPr fontId="3" type="noConversion"/>
  </si>
  <si>
    <t>표준 계층: 규칙 5개, 처리된 데이터 1,000GB</t>
    <phoneticPr fontId="3" type="noConversion"/>
  </si>
  <si>
    <t>- 상기 금액은 환율 1430.00원 기준임.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</si>
</sst>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26" formatCode="\$#,##0.00_);[Red]\(\$#,##0.00\)"/>
    <numFmt numFmtId="176" formatCode="&quot;₩&quot;#,##0_);[Red]\(&quot;₩&quot;#,##0\)"/>
    <numFmt numFmtId="177" formatCode="#,##0_);[Red]\(#,##0\)"/>
    <numFmt numFmtId="178" formatCode="0_);[Red]\(0\)"/>
    <numFmt numFmtId="179" formatCode="&quot;₩&quot;#,##0.0_);[Red]\(&quot;₩&quot;#,##0.0\)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b/>
      <u/>
      <sz val="16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name val="돋움"/>
      <family val="3"/>
      <charset val="129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26"/>
      <color theme="1"/>
      <name val="바탕체"/>
      <family val="1"/>
      <charset val="129"/>
    </font>
    <font>
      <sz val="26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돋움"/>
      <family val="3"/>
      <charset val="129"/>
    </font>
    <font>
      <b/>
      <sz val="10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color theme="1"/>
      <name val="Liberation Sans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910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</fills>
  <borders count="5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9" fillId="0" borderId="0"/>
    <xf numFmtId="0" fontId="7" fillId="0" borderId="0"/>
    <xf numFmtId="9" fontId="7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36" fillId="0" borderId="0">
      <alignment vertical="center"/>
    </xf>
    <xf numFmtId="0" fontId="20" fillId="0" borderId="0">
      <alignment vertical="center"/>
    </xf>
    <xf numFmtId="0" fontId="37" fillId="0" borderId="0"/>
    <xf numFmtId="0" fontId="38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42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1" fillId="0" borderId="0"/>
  </cellStyleXfs>
  <cellXfs count="168">
    <xf numFmtId="0" fontId="0" fillId="0" borderId="0" xfId="0">
      <alignment vertical="center"/>
    </xf>
    <xf numFmtId="0" fontId="8" fillId="2" borderId="0" xfId="2" applyFont="1" applyFill="1">
      <alignment vertical="center"/>
    </xf>
    <xf numFmtId="0" fontId="8" fillId="0" borderId="0" xfId="2" applyFont="1">
      <alignment vertical="center"/>
    </xf>
    <xf numFmtId="0" fontId="9" fillId="2" borderId="0" xfId="2" applyFont="1" applyFill="1">
      <alignment vertical="center"/>
    </xf>
    <xf numFmtId="0" fontId="10" fillId="5" borderId="5" xfId="2" applyFont="1" applyFill="1" applyBorder="1" applyAlignment="1">
      <alignment horizontal="center" vertical="center"/>
    </xf>
    <xf numFmtId="0" fontId="8" fillId="2" borderId="7" xfId="2" applyFont="1" applyFill="1" applyBorder="1">
      <alignment vertical="center"/>
    </xf>
    <xf numFmtId="177" fontId="11" fillId="2" borderId="0" xfId="2" applyNumberFormat="1" applyFont="1" applyFill="1">
      <alignment vertical="center"/>
    </xf>
    <xf numFmtId="0" fontId="6" fillId="3" borderId="16" xfId="2" applyFont="1" applyFill="1" applyBorder="1" applyAlignment="1">
      <alignment horizontal="center" vertical="center"/>
    </xf>
    <xf numFmtId="176" fontId="17" fillId="8" borderId="25" xfId="2" applyNumberFormat="1" applyFont="1" applyFill="1" applyBorder="1">
      <alignment vertical="center"/>
    </xf>
    <xf numFmtId="0" fontId="0" fillId="2" borderId="0" xfId="0" applyFill="1">
      <alignment vertical="center"/>
    </xf>
    <xf numFmtId="0" fontId="20" fillId="5" borderId="26" xfId="2" applyFont="1" applyFill="1" applyBorder="1">
      <alignment vertical="center"/>
    </xf>
    <xf numFmtId="42" fontId="12" fillId="6" borderId="19" xfId="1" applyFont="1" applyFill="1" applyBorder="1" applyAlignment="1">
      <alignment horizontal="center" vertical="center"/>
    </xf>
    <xf numFmtId="42" fontId="12" fillId="0" borderId="19" xfId="1" applyFont="1" applyFill="1" applyBorder="1" applyAlignment="1">
      <alignment horizontal="center" vertical="center"/>
    </xf>
    <xf numFmtId="176" fontId="17" fillId="5" borderId="25" xfId="2" applyNumberFormat="1" applyFont="1" applyFill="1" applyBorder="1">
      <alignment vertical="center"/>
    </xf>
    <xf numFmtId="0" fontId="2" fillId="0" borderId="0" xfId="2">
      <alignment vertical="center"/>
    </xf>
    <xf numFmtId="0" fontId="23" fillId="0" borderId="0" xfId="2" applyFont="1" applyAlignment="1">
      <alignment horizontal="center" vertical="center"/>
    </xf>
    <xf numFmtId="0" fontId="2" fillId="0" borderId="0" xfId="2" applyAlignment="1">
      <alignment horizontal="left" vertical="center"/>
    </xf>
    <xf numFmtId="0" fontId="5" fillId="0" borderId="0" xfId="2" applyFo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5" fillId="0" borderId="5" xfId="2" applyFont="1" applyBorder="1" applyAlignment="1">
      <alignment horizontal="left" vertical="center" indent="1"/>
    </xf>
    <xf numFmtId="42" fontId="5" fillId="0" borderId="5" xfId="1" applyFont="1" applyBorder="1" applyAlignment="1">
      <alignment vertical="center"/>
    </xf>
    <xf numFmtId="42" fontId="26" fillId="4" borderId="5" xfId="1" applyFont="1" applyFill="1" applyBorder="1" applyAlignment="1">
      <alignment vertical="center"/>
    </xf>
    <xf numFmtId="0" fontId="5" fillId="0" borderId="5" xfId="3" applyFont="1" applyBorder="1" applyAlignment="1">
      <alignment horizontal="left" vertical="center" wrapText="1" indent="1"/>
    </xf>
    <xf numFmtId="0" fontId="27" fillId="0" borderId="0" xfId="2" applyFont="1" applyAlignment="1">
      <alignment horizontal="left" vertical="center"/>
    </xf>
    <xf numFmtId="0" fontId="26" fillId="0" borderId="0" xfId="2" applyFont="1" applyAlignment="1">
      <alignment horizontal="center" vertical="center"/>
    </xf>
    <xf numFmtId="41" fontId="26" fillId="0" borderId="0" xfId="2" applyNumberFormat="1" applyFont="1">
      <alignment vertical="center"/>
    </xf>
    <xf numFmtId="41" fontId="26" fillId="0" borderId="0" xfId="4" quotePrefix="1" applyFont="1" applyFill="1" applyBorder="1" applyAlignment="1">
      <alignment vertical="center"/>
    </xf>
    <xf numFmtId="0" fontId="28" fillId="0" borderId="0" xfId="2" applyFont="1">
      <alignment vertical="center"/>
    </xf>
    <xf numFmtId="0" fontId="26" fillId="0" borderId="0" xfId="2" applyFont="1">
      <alignment vertical="center"/>
    </xf>
    <xf numFmtId="178" fontId="5" fillId="0" borderId="5" xfId="2" applyNumberFormat="1" applyFont="1" applyBorder="1" applyAlignment="1">
      <alignment horizontal="center" vertical="center"/>
    </xf>
    <xf numFmtId="0" fontId="25" fillId="4" borderId="5" xfId="2" applyFont="1" applyFill="1" applyBorder="1" applyAlignment="1">
      <alignment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8" fillId="8" borderId="26" xfId="2" applyFont="1" applyFill="1" applyBorder="1">
      <alignment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 wrapText="1"/>
    </xf>
    <xf numFmtId="0" fontId="5" fillId="0" borderId="0" xfId="2" quotePrefix="1" applyFont="1">
      <alignment vertical="center"/>
    </xf>
    <xf numFmtId="44" fontId="2" fillId="0" borderId="0" xfId="2" applyNumberFormat="1">
      <alignment vertical="center"/>
    </xf>
    <xf numFmtId="44" fontId="5" fillId="0" borderId="0" xfId="2" applyNumberFormat="1" applyFont="1">
      <alignment vertical="center"/>
    </xf>
    <xf numFmtId="0" fontId="25" fillId="0" borderId="22" xfId="2" quotePrefix="1" applyFont="1" applyBorder="1" applyAlignment="1">
      <alignment horizontal="center" vertical="center" wrapText="1"/>
    </xf>
    <xf numFmtId="0" fontId="9" fillId="2" borderId="0" xfId="2" applyFont="1" applyFill="1" applyAlignment="1">
      <alignment horizontal="left" vertical="center"/>
    </xf>
    <xf numFmtId="0" fontId="30" fillId="0" borderId="0" xfId="2" applyFont="1" applyAlignment="1">
      <alignment horizontal="center" vertical="center"/>
    </xf>
    <xf numFmtId="0" fontId="31" fillId="0" borderId="0" xfId="2" applyFont="1">
      <alignment vertical="center"/>
    </xf>
    <xf numFmtId="0" fontId="8" fillId="2" borderId="0" xfId="2" applyFont="1" applyFill="1" applyAlignment="1">
      <alignment horizontal="left" vertical="center"/>
    </xf>
    <xf numFmtId="0" fontId="32" fillId="0" borderId="0" xfId="2" quotePrefix="1" applyFont="1" applyAlignment="1">
      <alignment horizontal="left" vertical="center"/>
    </xf>
    <xf numFmtId="41" fontId="0" fillId="0" borderId="0" xfId="6" applyFont="1" applyAlignment="1">
      <alignment vertical="center"/>
    </xf>
    <xf numFmtId="41" fontId="0" fillId="0" borderId="6" xfId="6" applyFont="1" applyBorder="1" applyAlignment="1">
      <alignment vertical="center"/>
    </xf>
    <xf numFmtId="0" fontId="34" fillId="0" borderId="21" xfId="2" applyFont="1" applyBorder="1" applyAlignment="1">
      <alignment horizontal="center" vertical="center"/>
    </xf>
    <xf numFmtId="0" fontId="5" fillId="2" borderId="34" xfId="2" applyFont="1" applyFill="1" applyBorder="1">
      <alignment vertical="center"/>
    </xf>
    <xf numFmtId="177" fontId="21" fillId="2" borderId="32" xfId="6" applyNumberFormat="1" applyFont="1" applyFill="1" applyBorder="1" applyAlignment="1">
      <alignment horizontal="center" vertical="center" shrinkToFit="1"/>
    </xf>
    <xf numFmtId="26" fontId="21" fillId="2" borderId="32" xfId="6" applyNumberFormat="1" applyFont="1" applyFill="1" applyBorder="1" applyAlignment="1">
      <alignment horizontal="center" vertical="center" shrinkToFit="1"/>
    </xf>
    <xf numFmtId="176" fontId="21" fillId="2" borderId="32" xfId="6" applyNumberFormat="1" applyFont="1" applyFill="1" applyBorder="1" applyAlignment="1">
      <alignment horizontal="center" vertical="center" shrinkToFit="1"/>
    </xf>
    <xf numFmtId="0" fontId="5" fillId="0" borderId="35" xfId="2" applyFont="1" applyBorder="1">
      <alignment vertical="center"/>
    </xf>
    <xf numFmtId="177" fontId="35" fillId="8" borderId="25" xfId="2" applyNumberFormat="1" applyFont="1" applyFill="1" applyBorder="1" applyAlignment="1">
      <alignment horizontal="right" vertical="center"/>
    </xf>
    <xf numFmtId="179" fontId="18" fillId="8" borderId="26" xfId="2" applyNumberFormat="1" applyFont="1" applyFill="1" applyBorder="1">
      <alignment vertical="center"/>
    </xf>
    <xf numFmtId="176" fontId="21" fillId="2" borderId="36" xfId="6" applyNumberFormat="1" applyFont="1" applyFill="1" applyBorder="1" applyAlignment="1">
      <alignment horizontal="center" vertical="center" shrinkToFit="1"/>
    </xf>
    <xf numFmtId="0" fontId="33" fillId="2" borderId="29" xfId="2" applyFont="1" applyFill="1" applyBorder="1">
      <alignment vertical="center"/>
    </xf>
    <xf numFmtId="0" fontId="33" fillId="2" borderId="30" xfId="2" applyFont="1" applyFill="1" applyBorder="1" applyAlignment="1">
      <alignment horizontal="left" vertical="center"/>
    </xf>
    <xf numFmtId="0" fontId="33" fillId="2" borderId="40" xfId="2" applyFont="1" applyFill="1" applyBorder="1" applyAlignment="1">
      <alignment horizontal="center" vertical="center" wrapText="1"/>
    </xf>
    <xf numFmtId="0" fontId="33" fillId="2" borderId="28" xfId="2" applyFont="1" applyFill="1" applyBorder="1" applyAlignment="1">
      <alignment horizontal="center" vertical="center" wrapText="1"/>
    </xf>
    <xf numFmtId="0" fontId="33" fillId="2" borderId="41" xfId="2" applyFont="1" applyFill="1" applyBorder="1" applyAlignment="1">
      <alignment horizontal="center" vertical="center"/>
    </xf>
    <xf numFmtId="0" fontId="14" fillId="0" borderId="11" xfId="2" applyFont="1" applyBorder="1" applyAlignment="1">
      <alignment horizontal="center" vertical="center" wrapText="1"/>
    </xf>
    <xf numFmtId="0" fontId="14" fillId="0" borderId="43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25" fillId="0" borderId="23" xfId="2" quotePrefix="1" applyFont="1" applyBorder="1" applyAlignment="1">
      <alignment horizontal="center" vertical="center" wrapText="1"/>
    </xf>
    <xf numFmtId="0" fontId="5" fillId="2" borderId="5" xfId="3" applyFont="1" applyFill="1" applyBorder="1" applyAlignment="1">
      <alignment horizontal="left" vertical="center" wrapText="1" indent="1"/>
    </xf>
    <xf numFmtId="0" fontId="26" fillId="9" borderId="5" xfId="2" applyFont="1" applyFill="1" applyBorder="1" applyAlignment="1">
      <alignment horizontal="center" vertical="center"/>
    </xf>
    <xf numFmtId="42" fontId="26" fillId="9" borderId="5" xfId="2" applyNumberFormat="1" applyFont="1" applyFill="1" applyBorder="1">
      <alignment vertical="center"/>
    </xf>
    <xf numFmtId="42" fontId="26" fillId="10" borderId="5" xfId="2" applyNumberFormat="1" applyFont="1" applyFill="1" applyBorder="1">
      <alignment vertical="center"/>
    </xf>
    <xf numFmtId="41" fontId="26" fillId="10" borderId="5" xfId="4" quotePrefix="1" applyFont="1" applyFill="1" applyBorder="1" applyAlignment="1">
      <alignment vertical="center"/>
    </xf>
    <xf numFmtId="176" fontId="21" fillId="0" borderId="32" xfId="6" applyNumberFormat="1" applyFont="1" applyBorder="1" applyAlignment="1">
      <alignment horizontal="center" vertical="center" shrinkToFit="1"/>
    </xf>
    <xf numFmtId="41" fontId="0" fillId="0" borderId="5" xfId="6" applyFont="1" applyBorder="1" applyAlignment="1">
      <alignment vertical="center" wrapText="1"/>
    </xf>
    <xf numFmtId="0" fontId="14" fillId="0" borderId="22" xfId="2" quotePrefix="1" applyFont="1" applyBorder="1" applyAlignment="1">
      <alignment horizontal="left" vertical="center" wrapText="1"/>
    </xf>
    <xf numFmtId="177" fontId="21" fillId="0" borderId="47" xfId="6" applyNumberFormat="1" applyFont="1" applyFill="1" applyBorder="1" applyAlignment="1">
      <alignment horizontal="center" vertical="center" shrinkToFit="1"/>
    </xf>
    <xf numFmtId="26" fontId="21" fillId="0" borderId="5" xfId="6" applyNumberFormat="1" applyFont="1" applyFill="1" applyBorder="1" applyAlignment="1">
      <alignment horizontal="center" vertical="center" shrinkToFit="1"/>
    </xf>
    <xf numFmtId="0" fontId="5" fillId="0" borderId="48" xfId="2" applyFont="1" applyBorder="1">
      <alignment vertical="center"/>
    </xf>
    <xf numFmtId="176" fontId="17" fillId="8" borderId="7" xfId="2" applyNumberFormat="1" applyFont="1" applyFill="1" applyBorder="1">
      <alignment vertical="center"/>
    </xf>
    <xf numFmtId="0" fontId="33" fillId="2" borderId="31" xfId="2" applyFont="1" applyFill="1" applyBorder="1" applyAlignment="1">
      <alignment horizontal="left" vertical="center"/>
    </xf>
    <xf numFmtId="42" fontId="5" fillId="0" borderId="0" xfId="2" applyNumberFormat="1" applyFont="1">
      <alignment vertical="center"/>
    </xf>
    <xf numFmtId="0" fontId="30" fillId="2" borderId="49" xfId="3" applyFont="1" applyFill="1" applyBorder="1" applyAlignment="1">
      <alignment horizontal="center" vertical="center"/>
    </xf>
    <xf numFmtId="0" fontId="30" fillId="2" borderId="49" xfId="45" applyFont="1" applyFill="1" applyBorder="1" applyAlignment="1">
      <alignment vertical="top" wrapText="1"/>
    </xf>
    <xf numFmtId="38" fontId="30" fillId="0" borderId="49" xfId="6" applyNumberFormat="1" applyFont="1" applyFill="1" applyBorder="1" applyAlignment="1">
      <alignment horizontal="center" vertical="center" shrinkToFit="1"/>
    </xf>
    <xf numFmtId="26" fontId="30" fillId="0" borderId="49" xfId="6" applyNumberFormat="1" applyFont="1" applyFill="1" applyBorder="1" applyAlignment="1">
      <alignment horizontal="center" vertical="center" shrinkToFit="1"/>
    </xf>
    <xf numFmtId="176" fontId="30" fillId="0" borderId="49" xfId="7" applyNumberFormat="1" applyFont="1" applyBorder="1" applyAlignment="1">
      <alignment horizontal="center" vertical="center"/>
    </xf>
    <xf numFmtId="0" fontId="32" fillId="0" borderId="50" xfId="2" applyFont="1" applyBorder="1">
      <alignment vertical="center"/>
    </xf>
    <xf numFmtId="0" fontId="30" fillId="2" borderId="5" xfId="0" applyFont="1" applyFill="1" applyBorder="1" applyAlignment="1">
      <alignment horizontal="center" vertical="center" wrapText="1"/>
    </xf>
    <xf numFmtId="0" fontId="30" fillId="2" borderId="5" xfId="45" applyFont="1" applyFill="1" applyBorder="1" applyAlignment="1">
      <alignment vertical="top" wrapText="1"/>
    </xf>
    <xf numFmtId="38" fontId="30" fillId="0" borderId="5" xfId="6" applyNumberFormat="1" applyFont="1" applyFill="1" applyBorder="1" applyAlignment="1">
      <alignment horizontal="center" vertical="center"/>
    </xf>
    <xf numFmtId="38" fontId="30" fillId="0" borderId="5" xfId="6" applyNumberFormat="1" applyFont="1" applyFill="1" applyBorder="1" applyAlignment="1">
      <alignment horizontal="center" vertical="center" shrinkToFit="1"/>
    </xf>
    <xf numFmtId="26" fontId="30" fillId="0" borderId="5" xfId="6" applyNumberFormat="1" applyFont="1" applyFill="1" applyBorder="1" applyAlignment="1">
      <alignment horizontal="center" vertical="center" shrinkToFit="1"/>
    </xf>
    <xf numFmtId="176" fontId="30" fillId="0" borderId="5" xfId="7" applyNumberFormat="1" applyFont="1" applyBorder="1" applyAlignment="1">
      <alignment horizontal="center" vertical="center"/>
    </xf>
    <xf numFmtId="0" fontId="30" fillId="0" borderId="5" xfId="3" applyFont="1" applyBorder="1" applyAlignment="1">
      <alignment horizontal="center" vertical="center"/>
    </xf>
    <xf numFmtId="0" fontId="32" fillId="0" borderId="48" xfId="2" applyFont="1" applyBorder="1">
      <alignment vertical="center"/>
    </xf>
    <xf numFmtId="0" fontId="30" fillId="0" borderId="22" xfId="2" applyFont="1" applyBorder="1" applyAlignment="1">
      <alignment horizontal="center" vertical="center" wrapText="1"/>
    </xf>
    <xf numFmtId="176" fontId="30" fillId="0" borderId="6" xfId="7" applyNumberFormat="1" applyFont="1" applyBorder="1" applyAlignment="1">
      <alignment horizontal="center" vertical="center"/>
    </xf>
    <xf numFmtId="176" fontId="30" fillId="0" borderId="23" xfId="7" applyNumberFormat="1" applyFont="1" applyBorder="1" applyAlignment="1">
      <alignment horizontal="center" vertical="center"/>
    </xf>
    <xf numFmtId="41" fontId="42" fillId="2" borderId="16" xfId="44" applyFont="1" applyFill="1" applyBorder="1" applyAlignment="1">
      <alignment horizontal="center" vertical="center" wrapText="1"/>
    </xf>
    <xf numFmtId="41" fontId="42" fillId="2" borderId="51" xfId="44" applyFont="1" applyFill="1" applyBorder="1" applyAlignment="1">
      <alignment horizontal="center" vertical="center" wrapText="1"/>
    </xf>
    <xf numFmtId="41" fontId="42" fillId="2" borderId="52" xfId="44" applyFont="1" applyFill="1" applyBorder="1" applyAlignment="1">
      <alignment vertical="center" wrapText="1"/>
    </xf>
    <xf numFmtId="38" fontId="30" fillId="0" borderId="22" xfId="6" applyNumberFormat="1" applyFont="1" applyFill="1" applyBorder="1" applyAlignment="1">
      <alignment horizontal="center" vertical="center" shrinkToFit="1"/>
    </xf>
    <xf numFmtId="26" fontId="30" fillId="0" borderId="22" xfId="6" applyNumberFormat="1" applyFont="1" applyFill="1" applyBorder="1" applyAlignment="1">
      <alignment horizontal="center" vertical="center" shrinkToFit="1"/>
    </xf>
    <xf numFmtId="0" fontId="32" fillId="0" borderId="53" xfId="2" applyFont="1" applyBorder="1">
      <alignment vertical="center"/>
    </xf>
    <xf numFmtId="0" fontId="33" fillId="2" borderId="45" xfId="2" applyFont="1" applyFill="1" applyBorder="1" applyAlignment="1">
      <alignment horizontal="center" vertical="center" wrapText="1"/>
    </xf>
    <xf numFmtId="0" fontId="40" fillId="2" borderId="46" xfId="2" applyFont="1" applyFill="1" applyBorder="1">
      <alignment vertical="center"/>
    </xf>
    <xf numFmtId="176" fontId="21" fillId="0" borderId="51" xfId="6" applyNumberFormat="1" applyFont="1" applyBorder="1" applyAlignment="1">
      <alignment horizontal="center" vertical="center" shrinkToFit="1"/>
    </xf>
    <xf numFmtId="38" fontId="30" fillId="0" borderId="13" xfId="6" applyNumberFormat="1" applyFont="1" applyFill="1" applyBorder="1" applyAlignment="1">
      <alignment horizontal="center" vertical="center"/>
    </xf>
    <xf numFmtId="0" fontId="25" fillId="4" borderId="5" xfId="2" applyFont="1" applyFill="1" applyBorder="1" applyAlignment="1">
      <alignment horizontal="center" vertical="center"/>
    </xf>
    <xf numFmtId="0" fontId="14" fillId="2" borderId="4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0" fontId="14" fillId="2" borderId="37" xfId="2" applyFont="1" applyFill="1" applyBorder="1" applyAlignment="1">
      <alignment horizontal="center" vertical="center"/>
    </xf>
    <xf numFmtId="0" fontId="26" fillId="9" borderId="5" xfId="2" applyFont="1" applyFill="1" applyBorder="1" applyAlignment="1">
      <alignment horizontal="center" vertical="center"/>
    </xf>
    <xf numFmtId="0" fontId="26" fillId="10" borderId="5" xfId="2" applyFont="1" applyFill="1" applyBorder="1" applyAlignment="1">
      <alignment horizontal="center" vertical="center"/>
    </xf>
    <xf numFmtId="0" fontId="25" fillId="4" borderId="22" xfId="2" applyFont="1" applyFill="1" applyBorder="1" applyAlignment="1">
      <alignment horizontal="center" vertical="center" wrapText="1"/>
    </xf>
    <xf numFmtId="0" fontId="25" fillId="4" borderId="23" xfId="2" applyFont="1" applyFill="1" applyBorder="1" applyAlignment="1">
      <alignment horizontal="center" vertical="center" wrapText="1"/>
    </xf>
    <xf numFmtId="0" fontId="25" fillId="4" borderId="6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/>
    </xf>
    <xf numFmtId="0" fontId="14" fillId="0" borderId="22" xfId="2" quotePrefix="1" applyFont="1" applyBorder="1" applyAlignment="1">
      <alignment horizontal="left" vertical="center" wrapText="1"/>
    </xf>
    <xf numFmtId="0" fontId="14" fillId="0" borderId="6" xfId="2" quotePrefix="1" applyFont="1" applyBorder="1" applyAlignment="1">
      <alignment horizontal="left" vertical="center" wrapText="1"/>
    </xf>
    <xf numFmtId="0" fontId="22" fillId="0" borderId="0" xfId="2" applyFont="1" applyAlignment="1">
      <alignment horizontal="center" vertical="center"/>
    </xf>
    <xf numFmtId="0" fontId="5" fillId="2" borderId="27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24" fillId="2" borderId="2" xfId="2" applyFont="1" applyFill="1" applyBorder="1" applyAlignment="1">
      <alignment horizontal="left" vertical="center"/>
    </xf>
    <xf numFmtId="0" fontId="24" fillId="2" borderId="28" xfId="2" applyFont="1" applyFill="1" applyBorder="1" applyAlignment="1">
      <alignment horizontal="left" vertical="center"/>
    </xf>
    <xf numFmtId="0" fontId="10" fillId="0" borderId="10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30" fillId="0" borderId="23" xfId="2" applyFont="1" applyBorder="1" applyAlignment="1">
      <alignment horizontal="center" vertical="center" wrapText="1"/>
    </xf>
    <xf numFmtId="0" fontId="30" fillId="0" borderId="13" xfId="2" applyFont="1" applyBorder="1" applyAlignment="1">
      <alignment horizontal="center" vertical="center" wrapText="1"/>
    </xf>
    <xf numFmtId="0" fontId="30" fillId="0" borderId="8" xfId="2" applyFont="1" applyBorder="1" applyAlignment="1">
      <alignment horizontal="center" vertical="center" wrapText="1"/>
    </xf>
    <xf numFmtId="0" fontId="33" fillId="2" borderId="23" xfId="2" applyFont="1" applyFill="1" applyBorder="1" applyAlignment="1">
      <alignment horizontal="center" vertical="center" wrapText="1"/>
    </xf>
    <xf numFmtId="0" fontId="33" fillId="2" borderId="6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29" fillId="3" borderId="13" xfId="2" applyFont="1" applyFill="1" applyBorder="1" applyAlignment="1">
      <alignment horizontal="center" vertical="center" wrapText="1"/>
    </xf>
    <xf numFmtId="0" fontId="29" fillId="3" borderId="8" xfId="2" applyFont="1" applyFill="1" applyBorder="1" applyAlignment="1">
      <alignment horizontal="center" vertical="center" wrapText="1"/>
    </xf>
    <xf numFmtId="0" fontId="13" fillId="7" borderId="14" xfId="2" applyFont="1" applyFill="1" applyBorder="1" applyAlignment="1">
      <alignment horizontal="center" vertical="center"/>
    </xf>
    <xf numFmtId="0" fontId="13" fillId="7" borderId="2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29" fillId="3" borderId="8" xfId="2" applyFont="1" applyFill="1" applyBorder="1" applyAlignment="1">
      <alignment horizontal="center" vertical="center"/>
    </xf>
    <xf numFmtId="0" fontId="17" fillId="8" borderId="24" xfId="2" applyFont="1" applyFill="1" applyBorder="1" applyAlignment="1">
      <alignment horizontal="right" vertical="center"/>
    </xf>
    <xf numFmtId="0" fontId="17" fillId="8" borderId="25" xfId="2" applyFont="1" applyFill="1" applyBorder="1" applyAlignment="1">
      <alignment horizontal="right" vertical="center"/>
    </xf>
    <xf numFmtId="0" fontId="17" fillId="5" borderId="24" xfId="2" applyFont="1" applyFill="1" applyBorder="1" applyAlignment="1">
      <alignment horizontal="right" vertical="center"/>
    </xf>
    <xf numFmtId="0" fontId="17" fillId="5" borderId="25" xfId="2" applyFont="1" applyFill="1" applyBorder="1" applyAlignment="1">
      <alignment horizontal="right" vertical="center"/>
    </xf>
    <xf numFmtId="0" fontId="35" fillId="8" borderId="24" xfId="2" applyFont="1" applyFill="1" applyBorder="1" applyAlignment="1">
      <alignment horizontal="right" vertical="center"/>
    </xf>
    <xf numFmtId="0" fontId="35" fillId="8" borderId="25" xfId="2" applyFont="1" applyFill="1" applyBorder="1" applyAlignment="1">
      <alignment horizontal="right" vertical="center"/>
    </xf>
    <xf numFmtId="0" fontId="33" fillId="2" borderId="33" xfId="2" applyFont="1" applyFill="1" applyBorder="1" applyAlignment="1">
      <alignment horizontal="center" vertical="center" wrapText="1"/>
    </xf>
    <xf numFmtId="0" fontId="33" fillId="2" borderId="32" xfId="2" applyFont="1" applyFill="1" applyBorder="1" applyAlignment="1">
      <alignment horizontal="center" vertical="center" wrapText="1"/>
    </xf>
    <xf numFmtId="176" fontId="21" fillId="0" borderId="13" xfId="6" applyNumberFormat="1" applyFont="1" applyFill="1" applyBorder="1" applyAlignment="1">
      <alignment horizontal="center" vertical="center" shrinkToFit="1"/>
    </xf>
    <xf numFmtId="176" fontId="21" fillId="0" borderId="23" xfId="6" applyNumberFormat="1" applyFont="1" applyFill="1" applyBorder="1" applyAlignment="1">
      <alignment horizontal="center" vertical="center" shrinkToFit="1"/>
    </xf>
    <xf numFmtId="176" fontId="21" fillId="0" borderId="8" xfId="6" applyNumberFormat="1" applyFont="1" applyFill="1" applyBorder="1" applyAlignment="1">
      <alignment horizontal="center" vertical="center" shrinkToFit="1"/>
    </xf>
    <xf numFmtId="0" fontId="5" fillId="0" borderId="38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33" fillId="2" borderId="22" xfId="2" applyFont="1" applyFill="1" applyBorder="1" applyAlignment="1">
      <alignment horizontal="center" vertical="center" wrapText="1"/>
    </xf>
    <xf numFmtId="177" fontId="15" fillId="0" borderId="13" xfId="6" applyNumberFormat="1" applyFont="1" applyFill="1" applyBorder="1" applyAlignment="1">
      <alignment horizontal="center" vertical="center" shrinkToFit="1"/>
    </xf>
    <xf numFmtId="177" fontId="15" fillId="0" borderId="23" xfId="6" applyNumberFormat="1" applyFont="1" applyFill="1" applyBorder="1" applyAlignment="1">
      <alignment horizontal="center" vertical="center" shrinkToFit="1"/>
    </xf>
    <xf numFmtId="177" fontId="15" fillId="0" borderId="8" xfId="6" applyNumberFormat="1" applyFont="1" applyFill="1" applyBorder="1" applyAlignment="1">
      <alignment horizontal="center" vertical="center" shrinkToFit="1"/>
    </xf>
    <xf numFmtId="0" fontId="17" fillId="8" borderId="7" xfId="2" applyFont="1" applyFill="1" applyBorder="1" applyAlignment="1">
      <alignment horizontal="right" vertical="center"/>
    </xf>
    <xf numFmtId="26" fontId="15" fillId="0" borderId="13" xfId="6" applyNumberFormat="1" applyFont="1" applyFill="1" applyBorder="1" applyAlignment="1">
      <alignment horizontal="center" vertical="center" shrinkToFit="1"/>
    </xf>
    <xf numFmtId="26" fontId="15" fillId="0" borderId="23" xfId="6" applyNumberFormat="1" applyFont="1" applyFill="1" applyBorder="1" applyAlignment="1">
      <alignment horizontal="center" vertical="center" shrinkToFit="1"/>
    </xf>
    <xf numFmtId="26" fontId="15" fillId="0" borderId="8" xfId="6" applyNumberFormat="1" applyFont="1" applyFill="1" applyBorder="1" applyAlignment="1">
      <alignment horizontal="center" vertical="center" shrinkToFit="1"/>
    </xf>
    <xf numFmtId="0" fontId="10" fillId="0" borderId="15" xfId="2" applyFont="1" applyBorder="1" applyAlignment="1">
      <alignment horizontal="center" vertical="center" wrapText="1"/>
    </xf>
  </cellXfs>
  <cellStyles count="46">
    <cellStyle name="백분율 2" xfId="18" xr:uid="{00000000-0005-0000-0000-000000000000}"/>
    <cellStyle name="백분율 2 2" xfId="27" xr:uid="{00000000-0005-0000-0000-000001000000}"/>
    <cellStyle name="백분율 2 2 2" xfId="11" xr:uid="{00000000-0005-0000-0000-000002000000}"/>
    <cellStyle name="백분율 3" xfId="39" xr:uid="{00000000-0005-0000-0000-000003000000}"/>
    <cellStyle name="쉼표 [0]" xfId="44" builtinId="6"/>
    <cellStyle name="쉼표 [0] 2" xfId="8" xr:uid="{00000000-0005-0000-0000-000004000000}"/>
    <cellStyle name="쉼표 [0] 2 10" xfId="6" xr:uid="{00000000-0005-0000-0000-000005000000}"/>
    <cellStyle name="쉼표 [0] 2 10 2" xfId="43" xr:uid="{00000000-0005-0000-0000-000006000000}"/>
    <cellStyle name="쉼표 [0] 2 10 3" xfId="22" xr:uid="{00000000-0005-0000-0000-000007000000}"/>
    <cellStyle name="쉼표 [0] 2 2" xfId="5" xr:uid="{00000000-0005-0000-0000-000008000000}"/>
    <cellStyle name="쉼표 [0] 2 2 2" xfId="4" xr:uid="{00000000-0005-0000-0000-000009000000}"/>
    <cellStyle name="쉼표 [0] 2 2 2 2" xfId="30" xr:uid="{00000000-0005-0000-0000-00000A000000}"/>
    <cellStyle name="쉼표 [0] 2 2 3" xfId="29" xr:uid="{00000000-0005-0000-0000-00000B000000}"/>
    <cellStyle name="쉼표 [0] 2 3" xfId="16" xr:uid="{00000000-0005-0000-0000-00000C000000}"/>
    <cellStyle name="쉼표 [0] 2 4" xfId="28" xr:uid="{00000000-0005-0000-0000-00000D000000}"/>
    <cellStyle name="쉼표 [0] 3" xfId="36" xr:uid="{00000000-0005-0000-0000-00000E000000}"/>
    <cellStyle name="쉼표 [0] 4" xfId="40" xr:uid="{00000000-0005-0000-0000-00000F000000}"/>
    <cellStyle name="쉼표 [0] 5" xfId="41" xr:uid="{00000000-0005-0000-0000-000010000000}"/>
    <cellStyle name="쉼표 [0] 8" xfId="14" xr:uid="{00000000-0005-0000-0000-000011000000}"/>
    <cellStyle name="쉼표 [0] 8 3 2 2" xfId="19" xr:uid="{00000000-0005-0000-0000-000012000000}"/>
    <cellStyle name="쉼표 [0] 9" xfId="17" xr:uid="{00000000-0005-0000-0000-000013000000}"/>
    <cellStyle name="통화 [0]" xfId="1" builtinId="7"/>
    <cellStyle name="통화 [0] 2" xfId="21" xr:uid="{00000000-0005-0000-0000-000015000000}"/>
    <cellStyle name="통화 [0] 2 2" xfId="38" xr:uid="{00000000-0005-0000-0000-000016000000}"/>
    <cellStyle name="통화 [0] 2 3" xfId="35" xr:uid="{00000000-0005-0000-0000-000017000000}"/>
    <cellStyle name="통화 [0] 3" xfId="42" xr:uid="{00000000-0005-0000-0000-000018000000}"/>
    <cellStyle name="표준" xfId="0" builtinId="0"/>
    <cellStyle name="표준 11 3" xfId="12" xr:uid="{00000000-0005-0000-0000-00001A000000}"/>
    <cellStyle name="표준 2" xfId="10" xr:uid="{00000000-0005-0000-0000-00001B000000}"/>
    <cellStyle name="표준 2 2" xfId="3" xr:uid="{00000000-0005-0000-0000-00001C000000}"/>
    <cellStyle name="표준 2 2 2" xfId="24" xr:uid="{00000000-0005-0000-0000-00001D000000}"/>
    <cellStyle name="표준 2 3" xfId="13" xr:uid="{00000000-0005-0000-0000-00001E000000}"/>
    <cellStyle name="표준 2 3 2" xfId="25" xr:uid="{00000000-0005-0000-0000-00001F000000}"/>
    <cellStyle name="표준 2 4" xfId="34" xr:uid="{00000000-0005-0000-0000-000020000000}"/>
    <cellStyle name="표준 2 5" xfId="9" xr:uid="{00000000-0005-0000-0000-000021000000}"/>
    <cellStyle name="표준 3" xfId="26" xr:uid="{00000000-0005-0000-0000-000022000000}"/>
    <cellStyle name="표준 3 2" xfId="2" xr:uid="{00000000-0005-0000-0000-000023000000}"/>
    <cellStyle name="표준 3 2 2" xfId="37" xr:uid="{00000000-0005-0000-0000-000024000000}"/>
    <cellStyle name="표준 3 4" xfId="32" xr:uid="{00000000-0005-0000-0000-000025000000}"/>
    <cellStyle name="표준 34 2" xfId="15" xr:uid="{00000000-0005-0000-0000-000026000000}"/>
    <cellStyle name="표준 34 2 3 2 2" xfId="20" xr:uid="{00000000-0005-0000-0000-000027000000}"/>
    <cellStyle name="표준 4" xfId="33" xr:uid="{00000000-0005-0000-0000-000028000000}"/>
    <cellStyle name="표준 4 2" xfId="23" xr:uid="{00000000-0005-0000-0000-000029000000}"/>
    <cellStyle name="표준 4 2 2" xfId="7" xr:uid="{00000000-0005-0000-0000-00002A000000}"/>
    <cellStyle name="표준 4 3" xfId="31" xr:uid="{00000000-0005-0000-0000-00002B000000}"/>
    <cellStyle name="표준_Azure Resource 내역" xfId="45" xr:uid="{38031656-5C34-4309-84F3-465A79491E89}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61" Type="http://schemas.openxmlformats.org/officeDocument/2006/relationships/calcChain" Target="calcChain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customXml" Target="../customXml/item3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2880473</xdr:colOff>
      <xdr:row>2</xdr:row>
      <xdr:rowOff>174532</xdr:rowOff>
    </xdr:from>
    <xdr:to>
      <xdr:col>7</xdr:col>
      <xdr:colOff>3992517</xdr:colOff>
      <xdr:row>4</xdr:row>
      <xdr:rowOff>64995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A07E1E32-BFB4-4F7F-948A-59AD5052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1" t="32526" r="44952" b="39828"/>
        <a:stretch>
          <a:fillRect/>
        </a:stretch>
      </xdr:blipFill>
      <xdr:spPr bwMode="auto">
        <a:xfrm>
          <a:off x="11206444" y="768444"/>
          <a:ext cx="1112044" cy="48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12;&#49688;&#50676;\J-PROJECT\kc\&#49552;&#50689;&#50980;\&#52572;&#51333;&#48376;\SKG%20BaseCases%20for%20%20ISMB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WINDOWS/&#48148;&#53461;%20&#54868;&#47732;/OS%20&#44228;&#50557;/&#50976;&#44305;&#50725;/&#45800;&#44592;%20PROJECT/2001&#45380;%2010&#50900;%20&#51452;&#49885;&#54924;&#49324;&#51221;&#49328;/SKCORP&#54633;&#51032;&#49436;%20&#48516;&#47532;&#51089;&#50629;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&#51116;&#50864;&#51032;%20&#49888;&#44508;&#51088;&#47308;&#49892;/My%20&#51060;&#51116;&#50864;/&#54788;&#45824;&#49328;&#50629;&#44060;&#48156;/&#47932;&#47049;&#49328;&#52636;(2&#50900;28&#51068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Documents%20and%20Settings/Administrator/&#48148;&#53461;%20&#54868;&#47732;/My%20Documents/2003&#45380;%20OS/SK(&#51452;)/9.&#44592;&#53440;/9.1%20&#49436;&#48260;&#54788;&#54889;/2003.02.14/IT&#44592;&#54925;&#54016;%20&#51228;&#52636;&#51088;&#47308;(030214)/20030304_SKCorp&#49436;&#48260;&#54788;&#54889;_V2(&#52572;&#51333;)_&#50689;&#50629;&#54016;%20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Sales_Qut_Invoice/Quotation/Server/DCS&#54016;/&#47928;&#54805;&#51652;/&#50696;&#49328;&#50857;%20&#49436;&#48260;%20&#54788;&#54889;/&#49569;&#48512;&#50857;%20&#51109;&#48708;%20&#44032;&#50529;/&#46020;&#51077;&#44552;&#50529;%20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cc50020\c\&#44592;&#49696;&#44592;&#54925;&#54016;\&#48372;&#44288;\&#44228;&#50557;&#49436;&#49688;&#51221;(4.14)\&#48512;&#47197;N-1(Corp_Basecase-&#48149;&#51648;&#54984;4&#50900;14&#51068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4608;&#53468;&#51652;/&#50689;&#50629;&#51648;&#50896;&#54016;/&#44033;&#49324;&#48324;%20&#51088;&#47308;/2002&#45380;/OS&#44256;&#46020;&#54868;TFT/AS-IS%20Pricing-v3(&#48149;&#51456;&#49457;08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WINDOWS/&#48148;&#53461;%20&#54868;&#47732;/&#51076;&#49884;&#54868;&#51068;/LUCENT&#52384;&#44144;(LK)/GNG/9&#44277;&#44396;/&#50868;&#48152;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CC03367\SKT%20&#51221;&#49328;(200\My%20Documents\Outsourcing\09.%20&#49324;&#50857;&#47308;%20&#51221;&#49328;&#44288;&#47144;\09.%20&#51221;&#49328;&#51088;&#47308;%20&#51089;&#50629;&#44208;&#44284;\&#44032;&#44201;&#44208;&#51221;%20&#49345;&#49464;%20-%20&#49436;&#47448;%20&#51089;&#50629;(20.03.27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WINDOWS/&#48148;&#53461;%20&#54868;&#47732;/OS%20&#44228;&#50557;/&#50976;&#44305;&#50725;/&#49324;&#48324;&#51613;&#48729;&#52712;&#54633;/SKCORP%20&#53685;&#54633;&#44288;&#47532;-&#54633;&#51032;&#49436;&#475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2236;&#47476;&#47112;&#47532;/99.%20OS&#44256;&#46020;&#54868;%20T.F.T-2002.4/&#51089;&#49457;&#51088;&#47308;-2002.6.26/2002.8.1-simulation/20020810-sim/&#50868;&#50689;&#50896;&#44032;-20020812/Unix%20SEM&#50868;&#50689;&#45800;&#44032;-20020812/Unix-&#50868;&#50689;&#48708;-200208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9352;%20&#54260;&#45908;/SVR.%20&#45800;&#44032;%20&#48143;%20&#44552;&#50529;%20&#52628;&#51060;(08.27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4608;&#53468;&#51652;/&#50689;&#50629;&#51648;&#50896;&#54016;/&#44033;&#49324;&#48324;%20&#51088;&#47308;/2002&#45380;/OS&#44256;&#46020;&#54868;TFT/Raw%20Data/Server%20Service%20Class%20&#51116;&#51312;&#49324;(NT)ver1.1-200207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2236;&#47476;&#47112;&#47532;/99.%20OS&#44256;&#46020;&#54868;%20T.F.T-2002.4/&#51089;&#49457;&#51088;&#47308;-2002.6.26/2002.8.1-simulation/20020810-sim/&#50868;&#50689;&#50896;&#44032;-20020812/&#49324;&#48376;%20-%20&#50896;&#48376;%20-%20Unix%20Serve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72;&#54868;\&#44277;&#50976;&#54028;&#51068;\My%20Documents\&#51088;&#47308;&#44277;&#50976;\&#47932;&#51088;&#44288;&#47532;\ENG_General_Cal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windows/TEMP/1999&#45380;&#46020;%20&#49436;&#48708;&#49828;%20&#44592;&#44592;%20&#51201;&#50857;&#45800;&#44032;%20&#54633;&#51032;&#49436;-&#52392;&#48512;(200327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My%20Doc%20#1\COMPAQ\&#48156;&#51452;&#49436;_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2572;&#48337;&#54617;/My%20Documents/01.%20OS%20&#44256;&#46020;&#54868;%20TFT/Infra%20Cost%20&#49328;&#52636;&#47932;/1&#52264;%20&#49328;&#52636;&#47932;/&#51064;&#47141;%20Survey/&#49436;&#48708;&#49828;&#48324;%20FTE%20&#44396;&#48516;%20v1.2%2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Outsourcing2/01%20OS&#44228;&#50557;/01%202003&#45380;%20&#44228;&#50557;%20Followup/20030321%20Server&#50868;&#50689;&#45800;&#44032;%20&#49328;&#51221;(infra&#44592;&#54925;)/20030407%20Server/20030526%20&#45800;&#44032;&#48372;&#44256;%20&#44540;&#44144;/20030604%20HW&#45800;&#44032;/20030605%20Unix,NT%20&#45800;&#44032;(&#50504;)/20030607%20&#54364;&#51456;SPEC&#44160;&#53664;/20030607%20UX-HP(&#53685;&#48372;&#50857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Documents%20and%20Settings/04389/My%20Documents/&#50629;&#47924;/2003&#45380;%20&#50629;&#47924;/2003OS&#44228;&#50557;/2003Tower&#48324;%20&#45800;&#44032;/20030607%20UX-HP(&#53685;&#48372;&#50857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CC03367\SKT%20&#51221;&#49328;(200\windows\TEMP\1999&#45380;&#46020;%20&#49436;&#48708;&#49828;%20&#44592;&#44592;%20&#51201;&#50857;&#45800;&#44032;%20&#54633;&#51032;&#49436;-&#52392;&#48512;(200327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SKCC.TF.72/Shared%20Documents/General/SKN&#44228;&#50676;/SK&#45348;&#53944;&#50893;&#49828;/46_SKN_&#48124;&#54019;BO&#49444;&#44228;/01_&#44204;&#51201;/&#51064;&#54532;&#46972;%20&#49688;&#47049;%20&#52404;&#53356;%20CloudZ%20on%20AWS_SKN_&#48124;&#54019;BO&#53685;&#54633;_20210514_v0.1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cc50039\d\Outsourcing\LG%20IBM\&#44592;&#49696;&#44592;&#54925;&#54016;\Pricing&#48320;&#44221;5\&#48372;&#44256;&#48516;&#49437;\(C&amp;C%20&#48372;&#44256;&#50857;)SK%20Corp.%20Pricing&#44208;&#44284;%20&#47784;&#45944;-V5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0500;&#50883;&#49548;&#49905;/SK(&#51452;)DBM/2003&#45380;%20&#44228;&#50557;/DBM%20Pricing_Price_2003(20030410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2236;&#47476;&#47112;&#47532;/99.%20OS&#44256;&#46020;&#54868;%20T.F.T-2002.4/&#51089;&#49457;&#51088;&#47308;-2002.6.26/2002.8.1-simulation/20020810-sim/&#50868;&#50689;&#50896;&#44032;-20020812/Unix%20SEM&#50868;&#50689;&#45800;&#44032;-20020812/Unix%20SEM-&#50868;&#50689;&#48708;%20&#44540;&#44144;&#51088;&#47308;-20020806-v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4608;&#53468;&#51652;/&#50689;&#50629;&#51648;&#50896;&#54016;/&#44033;&#49324;&#48324;%20&#51088;&#47308;/2002&#45380;/OS&#44256;&#46020;&#54868;TFT/Raw%20Data/Server%20Service%20Class%20&amp;%20SEM(Unix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01.%20My%20Documents/06.%202002%20&#51221;&#49328;/01-6&#50900;.%20&#44032;&#51221;&#49328;(&#49688;&#51221;)/3.%20Distributed%20Syste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y%20Documents/Outsourcing/09.%20&#49324;&#50857;&#47308;%20&#51221;&#49328;&#44288;&#47144;/09.%20&#51221;&#49328;&#51088;&#47308;%20&#51089;&#50629;&#44208;&#44284;/&#44032;&#44201;&#44208;&#51221;%20&#49345;&#49464;%20-%20&#49436;&#47448;%20&#51089;&#50629;(20.03.27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share/My%20Documents/00.%20IT%20Outsourcing/02.%20&#51221;&#49328;&#51088;&#47308;/2000&#45380;%20&#50900;&#48324;&#51221;&#49328;/12&#50900;/2000_12%20SK&#53588;&#47112;&#53092;%20&#51221;&#49328;-VER.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&#44608;&#51116;&#50672;/&#50629;&#47924;/&#54532;&#47196;&#51229;&#53944;/SKTelecom/MQSI/&#44204;&#51201;/M80&#44148;(E3501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04;&#51201;&#50629;&#47924;\&#44204;&#51201;&#50577;&#49885;%20&#48143;%20&#51088;&#47308;\SKI&#51228;&#50808;&#44148;%20&#44204;&#51201;&#50577;&#49885;\My%20Documents\Outsourcing\01.%20Agreements\2000%20&#53588;&#47112;&#53092;%20&#50672;&#44036;&#44552;&#50529;&#54633;&#51032;\1-4&#48516;&#44592;%20&#44204;&#51201;\99&#45380;%20&#50629;&#47924;\os99\%6099&#49324;&#50857;&#47049;\&#44160;&#51613;%20Template\Baseline(revised41-&#51089;&#50629;&#50857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&#49324;&#51204;&#49324;&#54980;/20001007(&#45209;&#49828;&#45815;&#52980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2384;&#50672;\1X3FA&#51064;&#49688;&#51064;\TEMP\1&#52264;&#44228;&#50557;&#51089;&#50629;\NEW&#51613;&#49444;1(&#51116;&#51089;&#50629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4608;&#53468;&#51652;/&#50689;&#50629;&#51648;&#50896;&#54016;/&#44033;&#49324;&#48324;%20&#51088;&#47308;/2002&#45380;/OS&#44256;&#46020;&#54868;TFT/Raw%20Data/NT%20Serve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4608;&#53468;&#51652;/&#50689;&#50629;&#51648;&#50896;&#54016;/06%20&#44033;&#49324;&#48324;%20&#51088;&#47308;/2003&#45380;%20&#51068;&#48152;/01%20TFT/1&#50900;28&#51068;/NT-service%20type%20model%20conversion-v6(01.SK&#53588;&#47112;&#53092;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26032;%20OS&#44228;&#50557;/2003/2003.9-&#54801;&#51032;&#49884;&#51089;/10.27/20031027%20SK(&#51452;)%202003&#45380;%20&#44228;&#50557;&#51088;&#47308;/20031027%20SK(&#51452;)%20&#44592;&#51316;&#44228;&#50557;%20&#48143;%20&#49888;&#44228;&#50557;%20&#44592;&#51456;%20MF%20MIPS%20&#49324;&#50857;&#47049;%20&#44540;&#44144;&#51088;&#47308;(02.12-03.08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OB\&#51221;&#49328;\SkeS\&#51089;&#50629;&#54032;\2000&#45380;%20&#53440;&#50892;&#48324;%20OS&#44552;&#50529;%20&#49324;&#50857;&#54788;&#54889;%20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\SK-SU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y%20Documents/2001&#45380;%20OS/OS&#54633;&#51032;&#53685;&#48372;/SK(&#51452;)/SK(&#51452;)%202001&#45380;%20&#51221;&#49328;&#51088;&#47308;/(&#50756;&#47308;)2001&#45380;%20&#52572;&#51333;&#51221;&#49328;&#51088;&#47308;(0313)/&#44608;&#48124;&#49457;_DS%20Svr%20Refresh&#49892;&#51201;%20&#44592;&#51456;%20&#51221;&#49328;&#45236;&#50669;-2002.3.1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4252;&#53412;/&#50500;&#50883;&#49548;&#49905;/SK(&#51452;)/2004&#45380;/2004&#45380;%20&#51221;&#49328;/Refresh/2004&#45380;%20SK(&#51452;)%20Refesh%20List_20040423_v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List%20Price/Server/04&#45380;%2008&#50900;/ISS%209&#50900;%20&#44032;&#44201;&#543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pproval.skcc.com/&#51088;&#47308;/&#44204;&#51201;&#49436;/&#51088;&#46041;&#44204;&#5120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WINDOWS/&#48148;&#53461;%20&#54868;&#47732;/Temp-&#51089;&#50629;/New%20Model/20021027-CEO&#48372;&#44256;&#50857;/new-20021201/sim-v31-(sc&#51312;&#51221;&#54980;)-&#52572;&#51201;&#54868;,O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ail/03747.nsf/($Inbox)/816BC311ED1A66F749256D17002DDDC8/$FILE/(030306)%2020030304_&#49436;&#48260;&#54788;&#54889;%20&#45236;&#50669;-(&#51333;&#54633;).xls?OpenElement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52236;&#47476;&#47112;&#47532;/99.%20OS&#44256;&#46020;&#54868;%20T.F.T-2002.4/&#51089;&#49457;&#51088;&#47308;-2002.6.26/2002.8.1-simulation/20020810-sim/&#50868;&#50689;&#50896;&#44032;-20020812/UX_Svr&#51116;&#51312;&#4932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&#44608;&#53468;&#51652;/&#50689;&#50629;&#51648;&#50896;&#54016;/06%20&#44033;&#49324;&#48324;%20&#51088;&#47308;/2003&#45380;%20&#51068;&#48152;/01%20TFT/1&#50900;28&#51068;/service%20type%20model%20conversion-20021201&#50976;&#44305;&#5072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ail/03747.nsf/($Inbox)/DD0212C132ABF31D49256D41002A6DD0/$FILE/My%20Documents/2003&#45380;%20OS/SK(&#51452;)/9.&#44592;&#53440;/9.1%20&#49436;&#48260;&#54788;&#54889;/2003.02.14/20030214_SKCorp&#49436;&#48260;&#54788;&#54889;_V2(&#52572;&#51333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y%20Documents/Outsourcing/02.%20Pricing%20Model%20(NEW)/Baseline(revised41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KSC/95KSC/&#44228;&#50557;&#45236;&#5066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2384;&#50672;\1X3FA&#51064;&#49688;&#51064;\LHD\temp\1&#52264;&#44228;&#50557;&#51089;&#50629;\NEW&#51613;&#49444;1(&#51116;&#51089;&#50629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y%20Documents/2000&#45380;/&#49324;&#50857;&#47049;%20&#49328;&#51221;,%20&#51221;&#49328;/99&#49324;&#50857;&#47308;%20&#51221;&#49328;%20&#48143;%202000&#45380;%20&#49436;&#48708;&#49828;%20&#44592;&#48376;&#50836;&#44552;%20&#49328;&#51221;/99&#45380;%20&#51221;&#49328;/&#44032;&#44201;&#44208;&#51221;%20&#49345;&#49464;%20-%202000&#45380;%20&#50696;&#49328;&#51089;&#50629;(20.03.28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kcc.com/My%20Documents/2000&#45380;/2000&#45380;%20&#49324;&#50857;&#47308;%20&#51221;&#49328;/&#52572;&#51333;&#51088;&#47308;/2.Distributed%20System-&#51333;&#54633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1KIM\1.&#44608;&#50472;&#45348;&#51665;\WINDOWS\TEMP\1&#45824;&#44396;&#51648;&#49324;\&#44060;&#49352;&#45180;&#45824;\&#48372;&#50756;&#50836;&#44396;&#49324;&#54637;1\&#50504;&#46041;&#44284;&#54617;&#45824;&#54617;%20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cc50020\c\LG%20IBM\CAN%20Meeting%20result(09-28)\03-SK%20SHIPPING\03-Pricing%20model%20(sk&#54644;&#50868;-0927-V2)-&#51312;&#51221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YUNJH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G BaseCases for  ISMBC"/>
      <sheetName val="#REF"/>
      <sheetName val="SKTELINVENTORY"/>
      <sheetName val="기준정보"/>
      <sheetName val="SK Group Asset"/>
      <sheetName val="Other Company Acquisition PIVOT"/>
      <sheetName val="01is(누계)"/>
      <sheetName val="????"/>
      <sheetName val="합천내역"/>
      <sheetName val="118.세금과공과"/>
      <sheetName val="Sheet1"/>
      <sheetName val="Supplement2"/>
      <sheetName val="참고)시스템"/>
      <sheetName val="Unix단가표"/>
      <sheetName val="index"/>
      <sheetName val="Sheet3"/>
      <sheetName val="수입"/>
      <sheetName val="사업기회목록"/>
      <sheetName val="Sheet1 (2)"/>
      <sheetName val="SKG_BaseCases_for__ISMBC"/>
      <sheetName val="SK_Group_Asset"/>
      <sheetName val="Other_Company_Acquisition_PIVOT"/>
      <sheetName val="118_세금과공과"/>
      <sheetName val="대차대조표"/>
      <sheetName val="Oper Amount"/>
      <sheetName val="배분율"/>
      <sheetName val="SKG_BaseCases_for__ISMBC1"/>
      <sheetName val="SK_Group_Asset1"/>
      <sheetName val="Other_Company_Acquisition_PIVO1"/>
      <sheetName val="강제단가"/>
      <sheetName val="총괄"/>
      <sheetName val="1월"/>
      <sheetName val="대차대조표-공시형"/>
      <sheetName val="25년 Data"/>
      <sheetName val="영업.일"/>
      <sheetName val="장기차입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종합"/>
      <sheetName val="ADM-기초"/>
      <sheetName val="Consulting"/>
      <sheetName val="IT교육"/>
      <sheetName val="LAN 장비공사"/>
      <sheetName val="회선료"/>
      <sheetName val="Server"/>
      <sheetName val="APP.PKG SW"/>
      <sheetName val="USAGE"/>
      <sheetName val="현업용SW"/>
      <sheetName val="OA"/>
      <sheetName val="이름표"/>
      <sheetName val="VAX"/>
      <sheetName val="운영 비용(Infra)-원가"/>
      <sheetName val="DS_3Q"/>
      <sheetName val="index"/>
      <sheetName val="최종"/>
      <sheetName val="기준정보"/>
      <sheetName val="#REF"/>
      <sheetName val="LAN_장비공사"/>
      <sheetName val="APP_PKG_SW"/>
      <sheetName val="운영_비용(Infra)-원가"/>
      <sheetName val="DS상세 (2)"/>
      <sheetName val="in"/>
      <sheetName val="NT(DCS)"/>
      <sheetName val="NT(DS)"/>
      <sheetName val="UNIX(DCS)"/>
      <sheetName val="UNIX(D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0.125</v>
          </cell>
        </row>
        <row r="5">
          <cell r="B5">
            <v>1257.42</v>
          </cell>
        </row>
        <row r="6">
          <cell r="B6">
            <v>1356.83</v>
          </cell>
        </row>
        <row r="7">
          <cell r="B7">
            <v>1341.06</v>
          </cell>
        </row>
        <row r="8">
          <cell r="B8">
            <v>1313.08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백본"/>
      <sheetName val="산업개발장비"/>
      <sheetName val="개통건"/>
      <sheetName val="투자세부내역(내자)"/>
      <sheetName val="투자세부내역(외자)"/>
      <sheetName val="index"/>
      <sheetName val="상품입고집계"/>
      <sheetName val="Sheet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"/>
      <sheetName val="서버종합"/>
      <sheetName val="여기부터 -----&gt;참조자료"/>
      <sheetName val="1999년 정산내역 "/>
      <sheetName val="2000년 정산내역"/>
      <sheetName val="2001년 정산내역"/>
      <sheetName val="2002년 정산내역"/>
      <sheetName val="비용 배분내역"/>
      <sheetName val="1999"/>
      <sheetName val="2000"/>
      <sheetName val="2001"/>
      <sheetName val="2002"/>
      <sheetName val="확인요망"/>
      <sheetName val="NT(DCS)"/>
      <sheetName val="NT(DS)"/>
      <sheetName val="UNIX(DCS)"/>
      <sheetName val="UNIX(DS)"/>
      <sheetName val="NT운영단가표"/>
      <sheetName val="표준모델"/>
      <sheetName val="NT통합단가표"/>
      <sheetName val="95년장비"/>
      <sheetName val="NT단가표"/>
      <sheetName val="UX단가표"/>
      <sheetName val="내역서"/>
      <sheetName val="이름표"/>
      <sheetName val="소요자재"/>
      <sheetName val="노무산출서"/>
      <sheetName val="충남98"/>
      <sheetName val="중계기"/>
      <sheetName val="2000년"/>
      <sheetName val="2001년"/>
      <sheetName val="견적서"/>
      <sheetName val="등급"/>
      <sheetName val="Factor"/>
      <sheetName val="여기부터_-----&gt;참조자료"/>
      <sheetName val="1999년_정산내역_"/>
      <sheetName val="2000년_정산내역"/>
      <sheetName val="2001년_정산내역"/>
      <sheetName val="2002년_정산내역"/>
      <sheetName val="비용_배분내역"/>
      <sheetName val="Unix-Memory 단가 총괄"/>
      <sheetName val="Unix-MHz 단가 총괄"/>
      <sheetName val="운영 비용(Infra)-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 장비"/>
      <sheetName val="2003"/>
      <sheetName val="NT운영단가표"/>
      <sheetName val="Sheet1"/>
      <sheetName val="내역서"/>
      <sheetName val="이름표"/>
      <sheetName val="전체_장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 FTE"/>
      <sheetName val="Basecase"/>
      <sheetName val="Pricing"/>
      <sheetName val="자산인수금"/>
      <sheetName val="basecasecal"/>
      <sheetName val="별첨N-1"/>
      <sheetName val="INPUTAREA"/>
      <sheetName val="tpibase"/>
      <sheetName val="tpibase_adm"/>
      <sheetName val="tpibase_dc"/>
      <sheetName val="98 Budget"/>
      <sheetName val="tpibase_dt"/>
      <sheetName val="tpibase_nw"/>
      <sheetName val="tpibase_pl"/>
      <sheetName val="Asset"/>
      <sheetName val="SCOPEDB"/>
      <sheetName val="Unix단가표"/>
      <sheetName val="UX MA Total"/>
      <sheetName val="UX단가표"/>
      <sheetName val="Sheet1"/>
      <sheetName val="2003"/>
      <sheetName val="UX통합단가표"/>
      <sheetName val="NT운영단가표"/>
      <sheetName val="내역서"/>
      <sheetName val="3.Unit price"/>
      <sheetName val="ADM_FTE"/>
      <sheetName val="98_Budget"/>
      <sheetName val="UX_MA_Total"/>
      <sheetName val="3_Unit_price"/>
      <sheetName val="Oper Amoun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(고객사별)"/>
      <sheetName val="SKT"/>
      <sheetName val="SKT-MF"/>
      <sheetName val="SK(주)"/>
      <sheetName val="DBM"/>
      <sheetName val="SK글로벌"/>
      <sheetName val="SKES"/>
      <sheetName val="SKC"/>
      <sheetName val="SK케미칼"/>
      <sheetName val="SK건설"/>
      <sheetName val="SKC화학"/>
      <sheetName val="SK해운"/>
      <sheetName val="워커힐"/>
      <sheetName val="SK생명"/>
      <sheetName val="SKT신규"/>
      <sheetName val="SK(주) Mainframe사용량"/>
      <sheetName val="SKES Mainframe사용량 "/>
      <sheetName val="SK(주)신규"/>
      <sheetName val="SK글로벌신규"/>
      <sheetName val="SKES신규"/>
      <sheetName val="SKC신규"/>
      <sheetName val="SK케미칼신규"/>
      <sheetName val="SK건설신규"/>
      <sheetName val="SKC화학신규"/>
      <sheetName val="SK해운신규"/>
      <sheetName val="SK워커힐신규"/>
      <sheetName val="SK생명신규"/>
      <sheetName val="inputarea_ref"/>
      <sheetName val="예정(3)"/>
      <sheetName val="동원(3)"/>
      <sheetName val="OPT"/>
      <sheetName val="SV"/>
      <sheetName val="NT단가표"/>
      <sheetName val="UX단가표"/>
      <sheetName val="Unix단가표"/>
      <sheetName val="2003"/>
      <sheetName val="Sheet1"/>
      <sheetName val="NT운영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  <sheetName val="예정(3)"/>
      <sheetName val="동원(3)"/>
      <sheetName val="Unix단가표"/>
      <sheetName val="200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(총괄)"/>
      <sheetName val="요금(세부)"/>
      <sheetName val="DC(종합)"/>
      <sheetName val="단가합의(요약)"/>
      <sheetName val="감소사용량"/>
      <sheetName val="DS-장비"/>
      <sheetName val="NW-장비"/>
      <sheetName val="NW-대리점"/>
      <sheetName val="99년대리점"/>
      <sheetName val="Port"/>
      <sheetName val="NW-공사"/>
      <sheetName val="NW-PJT공사"/>
      <sheetName val="99년 LAN Port집계"/>
      <sheetName val="UPS사용료"/>
      <sheetName val="UPS"/>
      <sheetName val="PC-단가"/>
      <sheetName val="UPS(종합)"/>
      <sheetName val="UPS(공사)"/>
      <sheetName val="UPS(내역)"/>
      <sheetName val="UPS(설치)"/>
      <sheetName val="PC-운영대수"/>
      <sheetName val="OA교육비"/>
      <sheetName val="99년 ITC-PABX"/>
      <sheetName val="고객센타('98)"/>
      <sheetName val="고객센타('99)"/>
      <sheetName val="영상회의유지보수"/>
      <sheetName val="ADM총괄"/>
      <sheetName val="Service Space"/>
      <sheetName val="UX-Server"/>
      <sheetName val="Miser-P"/>
      <sheetName val="Miser-P "/>
      <sheetName val="회선료"/>
      <sheetName val="유효성 검사용 Sheet (삭제금지)"/>
      <sheetName val="Factor"/>
      <sheetName val="ELEC"/>
      <sheetName val="면적분포"/>
      <sheetName val="데이터유효성검사자료"/>
      <sheetName val="sheet1"/>
      <sheetName val="가격결정 상세 - 서류 작업(20.03.27)"/>
      <sheetName val="단가표"/>
      <sheetName val="MOTOR"/>
      <sheetName val="Read Me"/>
      <sheetName val="분류 "/>
      <sheetName val="2000년"/>
      <sheetName val="9GNG운반"/>
      <sheetName val="Unix-Memory 단가 총괄"/>
      <sheetName val="Unix-MHz 단가 총괄"/>
      <sheetName val="unix-factor"/>
      <sheetName val="첨부2. HW,SW사용료"/>
      <sheetName val="명세서"/>
      <sheetName val="99년_LAN_Port집계"/>
      <sheetName val="99년_ITC-PABX"/>
      <sheetName val="Service_Space"/>
      <sheetName val="Miser-P_"/>
      <sheetName val="유효성_검사용_Sheet_(삭제금지)"/>
      <sheetName val="가격결정_상세_-_서류_작업(20_03_27)"/>
      <sheetName val="Read_Me"/>
      <sheetName val="분류_"/>
      <sheetName val="Unix-Memory_단가_총괄"/>
      <sheetName val="Unix-MHz_단가_총괄"/>
      <sheetName val="첨부2__HW,SW사용료"/>
      <sheetName val="Best1"/>
      <sheetName val="Net-Backup"/>
      <sheetName val="SL Master(SKC정보소재사업부문)"/>
      <sheetName val="SL Master(케미칼)"/>
      <sheetName val="SL Master(SK Corp)"/>
      <sheetName val="SL Master(건설)"/>
      <sheetName val="SL Master(SKC화학사업부문)"/>
      <sheetName val="SL Master(해운)"/>
      <sheetName val="SL Master(SKT)"/>
      <sheetName val="Tivoli"/>
      <sheetName val="SL Master(워커힐)"/>
      <sheetName val="#ref"/>
      <sheetName val="기준정보"/>
      <sheetName val="FTE"/>
      <sheetName val="3본사"/>
      <sheetName val="Quick Estimate"/>
      <sheetName val="수수료현황"/>
      <sheetName val="DB"/>
      <sheetName val="퇴충금"/>
      <sheetName val="dssr_설치내역1"/>
      <sheetName val="inputarea_ref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J4">
            <v>0.13</v>
          </cell>
        </row>
      </sheetData>
      <sheetData sheetId="6" refreshError="1">
        <row r="4">
          <cell r="K4">
            <v>0.14940000000000001</v>
          </cell>
          <cell r="L4">
            <v>0.1176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(주)요약"/>
      <sheetName val="SK(주)-합의서"/>
      <sheetName val="정산이름표"/>
      <sheetName val="SK(주)-PRID"/>
      <sheetName val="SK(주)-미완PRID"/>
      <sheetName val="Infra기획팀 원가"/>
      <sheetName val="2월가격"/>
      <sheetName val="단가표"/>
      <sheetName val="ADCT"/>
      <sheetName val="BNET"/>
      <sheetName val="COMS"/>
      <sheetName val="SKCORP 통합관리-합의서만"/>
      <sheetName val="Backup"/>
      <sheetName val="Input"/>
      <sheetName val="NW-장비"/>
      <sheetName val="DS-장비"/>
      <sheetName val="노무비"/>
      <sheetName val="INPUTAREA"/>
      <sheetName val="Infra기획팀_원가"/>
      <sheetName val="SKCORP_통합관리-합의서만"/>
      <sheetName val="#ref"/>
      <sheetName val="기준정보"/>
      <sheetName val="이름표"/>
      <sheetName val="9GNG운반"/>
    </sheetNames>
    <sheetDataSet>
      <sheetData sheetId="0" refreshError="1"/>
      <sheetData sheetId="1" refreshError="1"/>
      <sheetData sheetId="2" refreshError="1">
        <row r="4">
          <cell r="B4" t="str">
            <v>시스템개선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Class 조사(Unix)"/>
      <sheetName val="원본"/>
      <sheetName val="Unix-price"/>
      <sheetName val="초기구축"/>
      <sheetName val="변경관리"/>
      <sheetName val="구성관리"/>
      <sheetName val="자산관리"/>
      <sheetName val="Monitoring"/>
      <sheetName val="장애접수"/>
      <sheetName val="장애처리"/>
      <sheetName val="정기점검"/>
      <sheetName val="통합(nw)"/>
      <sheetName val="통합(san)"/>
      <sheetName val="개별backup"/>
      <sheetName val="DM"/>
      <sheetName val="Storage"/>
      <sheetName val="보안관리"/>
      <sheetName val="성능관리"/>
      <sheetName val="정산이름표"/>
      <sheetName val="단가표"/>
      <sheetName val="ADCT"/>
      <sheetName val="BNET"/>
      <sheetName val="COMS"/>
      <sheetName val="Unix-운영비-20020806"/>
      <sheetName val="Backup"/>
      <sheetName val="Input"/>
      <sheetName val="NW-장비"/>
      <sheetName val="DS-장비"/>
      <sheetName val="Service_Class_조사(Unix)"/>
      <sheetName val="NT운영단가표"/>
    </sheetNames>
    <sheetDataSet>
      <sheetData sheetId="0"/>
      <sheetData sheetId="1"/>
      <sheetData sheetId="2">
        <row r="6">
          <cell r="K6">
            <v>17990.881378297418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트"/>
      <sheetName val="추이"/>
      <sheetName val="UX"/>
      <sheetName val="NT"/>
      <sheetName val="UX단가표"/>
      <sheetName val="NT단가표"/>
      <sheetName val="index"/>
      <sheetName val="NT(DCS)"/>
      <sheetName val="NT(DS)"/>
      <sheetName val="UNIX(DCS)"/>
      <sheetName val="UNIX(DS)"/>
      <sheetName val="SV"/>
      <sheetName val="Unix-price"/>
      <sheetName val="정산이름표"/>
      <sheetName val="단가표"/>
      <sheetName val="ADCT"/>
      <sheetName val="BNET"/>
      <sheetName val="COMS"/>
      <sheetName val="SVR. 단가 및 금액 추이(08.27)"/>
      <sheetName val="Backup"/>
      <sheetName val="Input"/>
      <sheetName val="등급"/>
      <sheetName val="Merge"/>
      <sheetName val="Resin"/>
      <sheetName val="Shareware"/>
      <sheetName val="Dundas"/>
      <sheetName val="LogiSoft AR"/>
      <sheetName val="Crystal Report"/>
      <sheetName val="SVR__단가_및_금액_추이(08_27)"/>
      <sheetName val="LogiSoft_AR"/>
      <sheetName val="Crystal_Report"/>
      <sheetName val="Option"/>
      <sheetName val="2003"/>
    </sheetNames>
    <sheetDataSet>
      <sheetData sheetId="0"/>
      <sheetData sheetId="1" refreshError="1">
        <row r="5">
          <cell r="A5" t="str">
            <v>등급</v>
          </cell>
          <cell r="B5" t="str">
            <v>SEM량</v>
          </cell>
          <cell r="C5" t="str">
            <v>SEM 단가</v>
          </cell>
          <cell r="D5" t="str">
            <v>추가 SEM 단가</v>
          </cell>
          <cell r="E5" t="str">
            <v>총금액</v>
          </cell>
        </row>
        <row r="6">
          <cell r="A6" t="str">
            <v>BHPHighEnd</v>
          </cell>
          <cell r="B6">
            <v>68</v>
          </cell>
          <cell r="C6">
            <v>301300</v>
          </cell>
          <cell r="D6">
            <v>119900</v>
          </cell>
          <cell r="E6">
            <v>20488400</v>
          </cell>
        </row>
        <row r="7">
          <cell r="A7" t="str">
            <v>BHPLarge</v>
          </cell>
          <cell r="B7">
            <v>68</v>
          </cell>
          <cell r="C7">
            <v>420200</v>
          </cell>
          <cell r="D7">
            <v>199700</v>
          </cell>
          <cell r="E7">
            <v>28573600</v>
          </cell>
        </row>
        <row r="8">
          <cell r="A8" t="str">
            <v>BHPmiddle</v>
          </cell>
          <cell r="B8">
            <v>68</v>
          </cell>
          <cell r="C8">
            <v>739500</v>
          </cell>
          <cell r="D8">
            <v>334900</v>
          </cell>
          <cell r="E8">
            <v>50286000</v>
          </cell>
        </row>
        <row r="9">
          <cell r="A9" t="str">
            <v>BHPSmall</v>
          </cell>
          <cell r="B9">
            <v>68</v>
          </cell>
          <cell r="C9">
            <v>594700</v>
          </cell>
          <cell r="D9">
            <v>68600</v>
          </cell>
          <cell r="E9">
            <v>40439600</v>
          </cell>
        </row>
        <row r="10">
          <cell r="A10" t="str">
            <v>BIBMHighEnd</v>
          </cell>
          <cell r="B10">
            <v>68</v>
          </cell>
          <cell r="C10">
            <v>1084400</v>
          </cell>
          <cell r="D10">
            <v>492500</v>
          </cell>
          <cell r="E10">
            <v>73739200</v>
          </cell>
        </row>
        <row r="11">
          <cell r="A11" t="str">
            <v>BIBMLarge</v>
          </cell>
          <cell r="B11">
            <v>68</v>
          </cell>
          <cell r="C11">
            <v>599100</v>
          </cell>
          <cell r="D11">
            <v>263200</v>
          </cell>
          <cell r="E11">
            <v>40738800</v>
          </cell>
        </row>
        <row r="12">
          <cell r="A12" t="str">
            <v>BIBMmiddle</v>
          </cell>
          <cell r="B12">
            <v>68</v>
          </cell>
          <cell r="C12">
            <v>547300</v>
          </cell>
          <cell r="D12">
            <v>260900</v>
          </cell>
          <cell r="E12">
            <v>37216400</v>
          </cell>
        </row>
        <row r="13">
          <cell r="A13" t="str">
            <v>BIBMSmall</v>
          </cell>
          <cell r="B13">
            <v>68</v>
          </cell>
          <cell r="C13">
            <v>991000</v>
          </cell>
          <cell r="D13">
            <v>153100</v>
          </cell>
          <cell r="E13">
            <v>46342711.727921031</v>
          </cell>
        </row>
        <row r="14">
          <cell r="A14" t="str">
            <v>BSUNHighEnd</v>
          </cell>
          <cell r="B14">
            <v>68</v>
          </cell>
          <cell r="C14">
            <v>216600</v>
          </cell>
          <cell r="D14">
            <v>18000</v>
          </cell>
          <cell r="E14">
            <v>14728800</v>
          </cell>
        </row>
        <row r="15">
          <cell r="A15" t="str">
            <v>BSUNLarge</v>
          </cell>
          <cell r="B15">
            <v>68</v>
          </cell>
          <cell r="C15">
            <v>228000</v>
          </cell>
          <cell r="D15">
            <v>38400</v>
          </cell>
          <cell r="E15">
            <v>15504000</v>
          </cell>
        </row>
        <row r="16">
          <cell r="A16" t="str">
            <v>BSUNmiddle</v>
          </cell>
          <cell r="B16">
            <v>68</v>
          </cell>
          <cell r="C16">
            <v>790900</v>
          </cell>
          <cell r="D16">
            <v>143600</v>
          </cell>
          <cell r="E16">
            <v>53781200</v>
          </cell>
        </row>
        <row r="17">
          <cell r="A17" t="str">
            <v>BSUNSmall</v>
          </cell>
          <cell r="B17">
            <v>68</v>
          </cell>
          <cell r="C17">
            <v>783200</v>
          </cell>
          <cell r="D17">
            <v>157800</v>
          </cell>
          <cell r="E17">
            <v>43165408.210390732</v>
          </cell>
        </row>
        <row r="18">
          <cell r="A18" t="str">
            <v>BHPHighEnd</v>
          </cell>
          <cell r="B18">
            <v>136</v>
          </cell>
          <cell r="C18">
            <v>301300</v>
          </cell>
          <cell r="D18">
            <v>119900</v>
          </cell>
          <cell r="E18">
            <v>40976800</v>
          </cell>
        </row>
        <row r="19">
          <cell r="A19" t="str">
            <v>BHPLarge</v>
          </cell>
          <cell r="B19">
            <v>136</v>
          </cell>
          <cell r="C19">
            <v>420200</v>
          </cell>
          <cell r="D19">
            <v>199700</v>
          </cell>
          <cell r="E19">
            <v>57147200</v>
          </cell>
        </row>
        <row r="20">
          <cell r="A20" t="str">
            <v>BHPmiddle</v>
          </cell>
          <cell r="B20">
            <v>136</v>
          </cell>
          <cell r="C20">
            <v>739500</v>
          </cell>
          <cell r="D20">
            <v>334900</v>
          </cell>
          <cell r="E20">
            <v>100572000</v>
          </cell>
        </row>
        <row r="21">
          <cell r="A21" t="str">
            <v>BHPSmall</v>
          </cell>
          <cell r="B21">
            <v>136</v>
          </cell>
          <cell r="C21">
            <v>594700</v>
          </cell>
          <cell r="D21">
            <v>68600</v>
          </cell>
          <cell r="E21">
            <v>45200273.720855199</v>
          </cell>
        </row>
        <row r="22">
          <cell r="A22" t="str">
            <v>BIBMHighEnd</v>
          </cell>
          <cell r="B22">
            <v>136</v>
          </cell>
          <cell r="C22">
            <v>1084400</v>
          </cell>
          <cell r="D22">
            <v>492500</v>
          </cell>
          <cell r="E22">
            <v>147478400</v>
          </cell>
        </row>
        <row r="23">
          <cell r="A23" t="str">
            <v>BIBMLarge</v>
          </cell>
          <cell r="B23">
            <v>136</v>
          </cell>
          <cell r="C23">
            <v>599100</v>
          </cell>
          <cell r="D23">
            <v>263200</v>
          </cell>
          <cell r="E23">
            <v>81477600</v>
          </cell>
        </row>
        <row r="24">
          <cell r="A24" t="str">
            <v>BIBMmiddle</v>
          </cell>
          <cell r="B24">
            <v>136</v>
          </cell>
          <cell r="C24">
            <v>547300</v>
          </cell>
          <cell r="D24">
            <v>260900</v>
          </cell>
          <cell r="E24">
            <v>70746304.065105483</v>
          </cell>
        </row>
        <row r="25">
          <cell r="A25" t="str">
            <v>BIBMSmall</v>
          </cell>
          <cell r="B25">
            <v>136</v>
          </cell>
          <cell r="C25">
            <v>991000</v>
          </cell>
          <cell r="D25">
            <v>153100</v>
          </cell>
          <cell r="E25">
            <v>56753511.727921031</v>
          </cell>
        </row>
        <row r="26">
          <cell r="A26" t="str">
            <v>BSUNHighEnd</v>
          </cell>
          <cell r="B26">
            <v>136</v>
          </cell>
          <cell r="C26">
            <v>216600</v>
          </cell>
          <cell r="D26">
            <v>18000</v>
          </cell>
          <cell r="E26">
            <v>29457600</v>
          </cell>
        </row>
        <row r="27">
          <cell r="A27" t="str">
            <v>BSUNLarge</v>
          </cell>
          <cell r="B27">
            <v>136</v>
          </cell>
          <cell r="C27">
            <v>228000</v>
          </cell>
          <cell r="D27">
            <v>38400</v>
          </cell>
          <cell r="E27">
            <v>31008000</v>
          </cell>
        </row>
        <row r="28">
          <cell r="A28" t="str">
            <v>BSUNmiddle</v>
          </cell>
          <cell r="B28">
            <v>136</v>
          </cell>
          <cell r="C28">
            <v>790900</v>
          </cell>
          <cell r="D28">
            <v>143600</v>
          </cell>
          <cell r="E28">
            <v>74444651.914702907</v>
          </cell>
        </row>
        <row r="29">
          <cell r="A29" t="str">
            <v>BSUNSmall</v>
          </cell>
          <cell r="B29">
            <v>136</v>
          </cell>
          <cell r="C29">
            <v>783200</v>
          </cell>
          <cell r="D29">
            <v>157800</v>
          </cell>
          <cell r="E29">
            <v>53895808.210390732</v>
          </cell>
        </row>
        <row r="30">
          <cell r="A30" t="str">
            <v>BHPHighEnd</v>
          </cell>
          <cell r="B30">
            <v>437</v>
          </cell>
          <cell r="C30">
            <v>301300</v>
          </cell>
          <cell r="D30">
            <v>119900</v>
          </cell>
          <cell r="E30">
            <v>131668100</v>
          </cell>
        </row>
        <row r="31">
          <cell r="A31" t="str">
            <v>BHPLarge</v>
          </cell>
          <cell r="B31">
            <v>437</v>
          </cell>
          <cell r="C31">
            <v>420200</v>
          </cell>
          <cell r="D31">
            <v>199700</v>
          </cell>
          <cell r="E31">
            <v>183627400</v>
          </cell>
        </row>
        <row r="32">
          <cell r="A32" t="str">
            <v>BHPmiddle</v>
          </cell>
          <cell r="B32">
            <v>437</v>
          </cell>
          <cell r="C32">
            <v>739500</v>
          </cell>
          <cell r="D32">
            <v>334900</v>
          </cell>
          <cell r="E32">
            <v>222988556.06353977</v>
          </cell>
        </row>
        <row r="33">
          <cell r="A33" t="str">
            <v>BHPSmall</v>
          </cell>
          <cell r="B33">
            <v>437</v>
          </cell>
          <cell r="C33">
            <v>594700</v>
          </cell>
          <cell r="D33">
            <v>68600</v>
          </cell>
          <cell r="E33">
            <v>65848873.720855199</v>
          </cell>
        </row>
        <row r="34">
          <cell r="A34" t="str">
            <v>BIBMHighEnd</v>
          </cell>
          <cell r="B34">
            <v>437</v>
          </cell>
          <cell r="C34">
            <v>1084400</v>
          </cell>
          <cell r="D34">
            <v>492500</v>
          </cell>
          <cell r="E34">
            <v>473882800</v>
          </cell>
        </row>
        <row r="35">
          <cell r="A35" t="str">
            <v>BIBMLarge</v>
          </cell>
          <cell r="B35">
            <v>437</v>
          </cell>
          <cell r="C35">
            <v>599100</v>
          </cell>
          <cell r="D35">
            <v>263200</v>
          </cell>
          <cell r="E35">
            <v>201101537.550551</v>
          </cell>
        </row>
        <row r="36">
          <cell r="A36" t="str">
            <v>BIBMmiddle</v>
          </cell>
          <cell r="B36">
            <v>437</v>
          </cell>
          <cell r="C36">
            <v>547300</v>
          </cell>
          <cell r="D36">
            <v>260900</v>
          </cell>
          <cell r="E36">
            <v>149277204.0651055</v>
          </cell>
        </row>
        <row r="37">
          <cell r="A37" t="str">
            <v>BIBMSmall</v>
          </cell>
          <cell r="B37">
            <v>437</v>
          </cell>
          <cell r="C37">
            <v>991000</v>
          </cell>
          <cell r="D37">
            <v>153100</v>
          </cell>
          <cell r="E37">
            <v>102836611.72792102</v>
          </cell>
        </row>
        <row r="38">
          <cell r="A38" t="str">
            <v>BSUNHighEnd</v>
          </cell>
          <cell r="B38">
            <v>437</v>
          </cell>
          <cell r="C38">
            <v>216600</v>
          </cell>
          <cell r="D38">
            <v>18000</v>
          </cell>
          <cell r="E38">
            <v>94654200</v>
          </cell>
        </row>
        <row r="39">
          <cell r="A39" t="str">
            <v>BSUNLarge</v>
          </cell>
          <cell r="B39">
            <v>437</v>
          </cell>
          <cell r="C39">
            <v>228000</v>
          </cell>
          <cell r="D39">
            <v>38400</v>
          </cell>
          <cell r="E39">
            <v>99636000</v>
          </cell>
        </row>
        <row r="40">
          <cell r="A40" t="str">
            <v>BSUNmiddle</v>
          </cell>
          <cell r="B40">
            <v>437</v>
          </cell>
          <cell r="C40">
            <v>790900</v>
          </cell>
          <cell r="D40">
            <v>143600</v>
          </cell>
          <cell r="E40">
            <v>117668251.91470289</v>
          </cell>
        </row>
        <row r="41">
          <cell r="A41" t="str">
            <v>BSUNSmall</v>
          </cell>
          <cell r="B41">
            <v>437</v>
          </cell>
          <cell r="C41">
            <v>783200</v>
          </cell>
          <cell r="D41">
            <v>157800</v>
          </cell>
          <cell r="E41">
            <v>101393608.21039073</v>
          </cell>
        </row>
        <row r="42">
          <cell r="A42" t="str">
            <v>BHPHighEnd</v>
          </cell>
          <cell r="B42">
            <v>1010</v>
          </cell>
          <cell r="C42">
            <v>301300</v>
          </cell>
          <cell r="D42">
            <v>119900</v>
          </cell>
          <cell r="E42">
            <v>304313000</v>
          </cell>
        </row>
        <row r="43">
          <cell r="A43" t="str">
            <v>BHPLarge</v>
          </cell>
          <cell r="B43">
            <v>1010</v>
          </cell>
          <cell r="C43">
            <v>420200</v>
          </cell>
          <cell r="D43">
            <v>199700</v>
          </cell>
          <cell r="E43">
            <v>298150142.52920645</v>
          </cell>
        </row>
        <row r="44">
          <cell r="A44" t="str">
            <v>BHPmiddle</v>
          </cell>
          <cell r="B44">
            <v>1010</v>
          </cell>
          <cell r="C44">
            <v>739500</v>
          </cell>
          <cell r="D44">
            <v>334900</v>
          </cell>
          <cell r="E44">
            <v>414886256.06353974</v>
          </cell>
        </row>
        <row r="45">
          <cell r="A45" t="str">
            <v>BHPSmall</v>
          </cell>
          <cell r="B45">
            <v>1010</v>
          </cell>
          <cell r="C45">
            <v>594700</v>
          </cell>
          <cell r="D45">
            <v>68600</v>
          </cell>
          <cell r="E45">
            <v>105156673.72085521</v>
          </cell>
        </row>
        <row r="46">
          <cell r="A46" t="str">
            <v>BIBMHighEnd</v>
          </cell>
          <cell r="B46">
            <v>1010</v>
          </cell>
          <cell r="C46">
            <v>1084400</v>
          </cell>
          <cell r="D46">
            <v>492500</v>
          </cell>
          <cell r="E46">
            <v>847733071.14160252</v>
          </cell>
        </row>
        <row r="47">
          <cell r="A47" t="str">
            <v>BIBMLarge</v>
          </cell>
          <cell r="B47">
            <v>1010</v>
          </cell>
          <cell r="C47">
            <v>599100</v>
          </cell>
          <cell r="D47">
            <v>263200</v>
          </cell>
          <cell r="E47">
            <v>351915137.55055094</v>
          </cell>
        </row>
        <row r="48">
          <cell r="A48" t="str">
            <v>BIBMmiddle</v>
          </cell>
          <cell r="B48">
            <v>1010</v>
          </cell>
          <cell r="C48">
            <v>547300</v>
          </cell>
          <cell r="D48">
            <v>260900</v>
          </cell>
          <cell r="E48">
            <v>298772904.06510544</v>
          </cell>
        </row>
        <row r="49">
          <cell r="A49" t="str">
            <v>BIBMSmall</v>
          </cell>
          <cell r="B49">
            <v>1010</v>
          </cell>
          <cell r="C49">
            <v>991000</v>
          </cell>
          <cell r="D49">
            <v>153100</v>
          </cell>
          <cell r="E49">
            <v>190562911.72792104</v>
          </cell>
        </row>
        <row r="50">
          <cell r="A50" t="str">
            <v>BSUNHighEnd</v>
          </cell>
          <cell r="B50">
            <v>1010</v>
          </cell>
          <cell r="C50">
            <v>216600</v>
          </cell>
          <cell r="D50">
            <v>18000</v>
          </cell>
          <cell r="E50">
            <v>218766000</v>
          </cell>
        </row>
        <row r="51">
          <cell r="A51" t="str">
            <v>BSUNLarge</v>
          </cell>
          <cell r="B51">
            <v>1010</v>
          </cell>
          <cell r="C51">
            <v>228000</v>
          </cell>
          <cell r="D51">
            <v>38400</v>
          </cell>
          <cell r="E51">
            <v>124352142.23203856</v>
          </cell>
        </row>
        <row r="52">
          <cell r="A52" t="str">
            <v>BSUNmiddle</v>
          </cell>
          <cell r="B52">
            <v>1010</v>
          </cell>
          <cell r="C52">
            <v>790900</v>
          </cell>
          <cell r="D52">
            <v>143600</v>
          </cell>
          <cell r="E52">
            <v>199951051.91470289</v>
          </cell>
        </row>
        <row r="53">
          <cell r="A53" t="str">
            <v>BSUNSmall</v>
          </cell>
          <cell r="B53">
            <v>1010</v>
          </cell>
          <cell r="C53">
            <v>783200</v>
          </cell>
          <cell r="D53">
            <v>157800</v>
          </cell>
          <cell r="E53">
            <v>191813008.21039072</v>
          </cell>
        </row>
      </sheetData>
      <sheetData sheetId="2"/>
      <sheetData sheetId="3"/>
      <sheetData sheetId="4"/>
      <sheetData sheetId="5"/>
      <sheetData sheetId="6" refreshError="1">
        <row r="23">
          <cell r="A23" t="str">
            <v>CODE</v>
          </cell>
          <cell r="B23" t="str">
            <v>Vendor</v>
          </cell>
          <cell r="C23" t="str">
            <v>Grade</v>
          </cell>
          <cell r="D23" t="str">
            <v>단위CPU</v>
          </cell>
          <cell r="E23" t="str">
            <v>수량</v>
          </cell>
          <cell r="F23" t="str">
            <v>Total CPU</v>
          </cell>
          <cell r="G23" t="str">
            <v>SEM</v>
          </cell>
        </row>
        <row r="24">
          <cell r="A24" t="str">
            <v>HPHighEnd</v>
          </cell>
          <cell r="B24" t="str">
            <v>HP</v>
          </cell>
          <cell r="C24" t="str">
            <v>HighEnd</v>
          </cell>
          <cell r="D24">
            <v>875</v>
          </cell>
          <cell r="E24">
            <v>16</v>
          </cell>
          <cell r="F24">
            <v>14000</v>
          </cell>
          <cell r="G24">
            <v>1010.1863779082278</v>
          </cell>
        </row>
        <row r="25">
          <cell r="A25" t="str">
            <v>HPLarge</v>
          </cell>
          <cell r="B25" t="str">
            <v>HP</v>
          </cell>
          <cell r="C25" t="str">
            <v>Large</v>
          </cell>
          <cell r="D25">
            <v>875</v>
          </cell>
          <cell r="E25">
            <v>8</v>
          </cell>
          <cell r="F25">
            <v>7000</v>
          </cell>
          <cell r="G25">
            <v>437.42921781953038</v>
          </cell>
        </row>
        <row r="26">
          <cell r="A26" t="str">
            <v>HPmiddle</v>
          </cell>
          <cell r="B26" t="str">
            <v>HP</v>
          </cell>
          <cell r="C26" t="str">
            <v>middle</v>
          </cell>
          <cell r="D26">
            <v>875</v>
          </cell>
          <cell r="E26">
            <v>4</v>
          </cell>
          <cell r="F26">
            <v>3500</v>
          </cell>
          <cell r="G26">
            <v>189.41486916346955</v>
          </cell>
        </row>
        <row r="27">
          <cell r="A27" t="str">
            <v>HPSmall</v>
          </cell>
          <cell r="B27" t="str">
            <v>HP</v>
          </cell>
          <cell r="C27" t="str">
            <v>Small</v>
          </cell>
          <cell r="D27">
            <v>750</v>
          </cell>
          <cell r="E27">
            <v>2</v>
          </cell>
          <cell r="F27">
            <v>1500</v>
          </cell>
          <cell r="G27">
            <v>68.18223478588709</v>
          </cell>
        </row>
        <row r="28">
          <cell r="A28" t="str">
            <v>IBMHighEnd</v>
          </cell>
          <cell r="B28" t="str">
            <v>IBM</v>
          </cell>
          <cell r="C28" t="str">
            <v>HighEnd</v>
          </cell>
          <cell r="D28">
            <v>1126</v>
          </cell>
          <cell r="E28">
            <v>8</v>
          </cell>
          <cell r="F28">
            <v>9008</v>
          </cell>
          <cell r="G28">
            <v>591.83657905322275</v>
          </cell>
        </row>
        <row r="29">
          <cell r="A29" t="str">
            <v>IBMLarge</v>
          </cell>
          <cell r="B29" t="str">
            <v>IBM</v>
          </cell>
          <cell r="C29" t="str">
            <v>Large</v>
          </cell>
          <cell r="D29">
            <v>1126</v>
          </cell>
          <cell r="E29">
            <v>4</v>
          </cell>
          <cell r="F29">
            <v>4504</v>
          </cell>
          <cell r="G29">
            <v>256.27608678342062</v>
          </cell>
        </row>
        <row r="30">
          <cell r="A30" t="str">
            <v>IBMmiddle</v>
          </cell>
          <cell r="B30" t="str">
            <v>IBM</v>
          </cell>
          <cell r="C30" t="str">
            <v>middle</v>
          </cell>
          <cell r="D30">
            <v>1228</v>
          </cell>
          <cell r="E30">
            <v>2</v>
          </cell>
          <cell r="F30">
            <v>2456</v>
          </cell>
          <cell r="G30">
            <v>123.1281566519046</v>
          </cell>
        </row>
        <row r="31">
          <cell r="A31" t="str">
            <v>IBMSmall</v>
          </cell>
          <cell r="B31" t="str">
            <v>IBM</v>
          </cell>
          <cell r="C31" t="str">
            <v>Small</v>
          </cell>
          <cell r="D31">
            <v>1024</v>
          </cell>
          <cell r="E31">
            <v>1</v>
          </cell>
          <cell r="F31">
            <v>1024</v>
          </cell>
          <cell r="G31">
            <v>42.883293624443283</v>
          </cell>
        </row>
        <row r="32">
          <cell r="A32" t="str">
            <v>SUNHighEnd</v>
          </cell>
          <cell r="B32" t="str">
            <v>SUN</v>
          </cell>
          <cell r="C32" t="str">
            <v>HighEnd</v>
          </cell>
          <cell r="D32">
            <v>1200</v>
          </cell>
          <cell r="E32">
            <v>16</v>
          </cell>
          <cell r="F32">
            <v>19200</v>
          </cell>
          <cell r="G32">
            <v>1475.1324419000175</v>
          </cell>
        </row>
        <row r="33">
          <cell r="A33" t="str">
            <v>SUNLarge</v>
          </cell>
          <cell r="B33" t="str">
            <v>SUN</v>
          </cell>
          <cell r="C33" t="str">
            <v>Large</v>
          </cell>
          <cell r="D33">
            <v>1200</v>
          </cell>
          <cell r="E33">
            <v>6</v>
          </cell>
          <cell r="F33">
            <v>7200</v>
          </cell>
          <cell r="G33">
            <v>451.30876704661682</v>
          </cell>
        </row>
        <row r="34">
          <cell r="A34" t="str">
            <v>SUNmiddle</v>
          </cell>
          <cell r="B34" t="str">
            <v>SUN</v>
          </cell>
          <cell r="C34" t="str">
            <v>middle</v>
          </cell>
          <cell r="D34">
            <v>900</v>
          </cell>
          <cell r="E34">
            <v>2</v>
          </cell>
          <cell r="F34">
            <v>1800</v>
          </cell>
          <cell r="G34">
            <v>84.837095496219533</v>
          </cell>
        </row>
        <row r="35">
          <cell r="A35" t="str">
            <v>SUNSmall</v>
          </cell>
          <cell r="B35" t="str">
            <v>SUN</v>
          </cell>
          <cell r="C35" t="str">
            <v>Small</v>
          </cell>
          <cell r="D35">
            <v>1200</v>
          </cell>
          <cell r="E35">
            <v>1</v>
          </cell>
          <cell r="F35">
            <v>1200</v>
          </cell>
          <cell r="G35">
            <v>51.862820931229187</v>
          </cell>
        </row>
        <row r="41">
          <cell r="A41" t="str">
            <v>CODE</v>
          </cell>
          <cell r="B41" t="str">
            <v>Vendor</v>
          </cell>
          <cell r="C41" t="str">
            <v>HW등급</v>
          </cell>
          <cell r="D41" t="str">
            <v>표준</v>
          </cell>
          <cell r="G41" t="str">
            <v>Memory</v>
          </cell>
          <cell r="J41" t="str">
            <v>HDD</v>
          </cell>
          <cell r="M41" t="str">
            <v>SEM</v>
          </cell>
        </row>
        <row r="42">
          <cell r="D42" t="str">
            <v>단위CPU</v>
          </cell>
          <cell r="E42" t="str">
            <v>수량</v>
          </cell>
          <cell r="F42" t="str">
            <v>Total CPU</v>
          </cell>
          <cell r="G42" t="str">
            <v>단위</v>
          </cell>
          <cell r="H42" t="str">
            <v>수량</v>
          </cell>
          <cell r="I42" t="str">
            <v>Total MB</v>
          </cell>
          <cell r="J42" t="str">
            <v>단위</v>
          </cell>
          <cell r="K42" t="str">
            <v>수량</v>
          </cell>
          <cell r="L42" t="str">
            <v>Total GB</v>
          </cell>
        </row>
        <row r="43">
          <cell r="A43" t="str">
            <v>IBMSmall</v>
          </cell>
          <cell r="B43" t="str">
            <v>IBM</v>
          </cell>
          <cell r="C43" t="str">
            <v>Small</v>
          </cell>
          <cell r="D43">
            <v>2000</v>
          </cell>
          <cell r="E43">
            <v>1</v>
          </cell>
          <cell r="F43">
            <v>2000</v>
          </cell>
          <cell r="G43">
            <v>1024</v>
          </cell>
          <cell r="H43">
            <v>1</v>
          </cell>
          <cell r="I43">
            <v>1024</v>
          </cell>
          <cell r="J43">
            <v>72</v>
          </cell>
          <cell r="K43">
            <v>1</v>
          </cell>
          <cell r="L43">
            <v>72</v>
          </cell>
          <cell r="M43">
            <v>95.671999999999997</v>
          </cell>
        </row>
        <row r="44">
          <cell r="A44" t="str">
            <v>IBMmiddle</v>
          </cell>
          <cell r="B44" t="str">
            <v>IBM</v>
          </cell>
          <cell r="C44" t="str">
            <v>middle</v>
          </cell>
          <cell r="D44">
            <v>1400</v>
          </cell>
          <cell r="E44">
            <v>1</v>
          </cell>
          <cell r="F44">
            <v>1400</v>
          </cell>
          <cell r="G44">
            <v>1024</v>
          </cell>
          <cell r="H44">
            <v>1</v>
          </cell>
          <cell r="I44">
            <v>1024</v>
          </cell>
          <cell r="J44">
            <v>144</v>
          </cell>
          <cell r="K44">
            <v>1</v>
          </cell>
          <cell r="L44">
            <v>144</v>
          </cell>
          <cell r="M44">
            <v>62.389000000000003</v>
          </cell>
        </row>
        <row r="45">
          <cell r="A45" t="str">
            <v>IBMLarge</v>
          </cell>
          <cell r="B45" t="str">
            <v>IBM</v>
          </cell>
          <cell r="C45" t="str">
            <v>Large</v>
          </cell>
          <cell r="D45">
            <v>1400</v>
          </cell>
          <cell r="E45">
            <v>2</v>
          </cell>
          <cell r="F45">
            <v>2800</v>
          </cell>
          <cell r="G45">
            <v>1024</v>
          </cell>
          <cell r="H45">
            <v>2</v>
          </cell>
          <cell r="I45">
            <v>2048</v>
          </cell>
          <cell r="J45">
            <v>144</v>
          </cell>
          <cell r="K45">
            <v>1</v>
          </cell>
          <cell r="L45">
            <v>144</v>
          </cell>
          <cell r="M45">
            <v>144.078</v>
          </cell>
        </row>
        <row r="46">
          <cell r="A46" t="str">
            <v>HPSmall</v>
          </cell>
          <cell r="B46" t="str">
            <v>HP</v>
          </cell>
          <cell r="C46" t="str">
            <v>Small</v>
          </cell>
          <cell r="D46">
            <v>2400</v>
          </cell>
          <cell r="E46">
            <v>1</v>
          </cell>
          <cell r="F46">
            <v>2400</v>
          </cell>
          <cell r="G46">
            <v>1024</v>
          </cell>
          <cell r="H46">
            <v>1</v>
          </cell>
          <cell r="I46">
            <v>1024</v>
          </cell>
          <cell r="J46">
            <v>72</v>
          </cell>
          <cell r="K46">
            <v>1</v>
          </cell>
          <cell r="L46">
            <v>72</v>
          </cell>
          <cell r="M46">
            <v>119.042</v>
          </cell>
        </row>
        <row r="47">
          <cell r="A47" t="str">
            <v>HPmiddle</v>
          </cell>
          <cell r="B47" t="str">
            <v>HP</v>
          </cell>
          <cell r="C47" t="str">
            <v>middle</v>
          </cell>
          <cell r="D47">
            <v>1400</v>
          </cell>
          <cell r="E47">
            <v>1</v>
          </cell>
          <cell r="F47">
            <v>1400</v>
          </cell>
          <cell r="G47">
            <v>1024</v>
          </cell>
          <cell r="H47">
            <v>1</v>
          </cell>
          <cell r="I47">
            <v>1024</v>
          </cell>
          <cell r="J47">
            <v>144</v>
          </cell>
          <cell r="K47">
            <v>1</v>
          </cell>
          <cell r="L47">
            <v>144</v>
          </cell>
          <cell r="M47">
            <v>62.389000000000003</v>
          </cell>
        </row>
        <row r="48">
          <cell r="A48" t="str">
            <v>HPLarge</v>
          </cell>
          <cell r="B48" t="str">
            <v>HP</v>
          </cell>
          <cell r="C48" t="str">
            <v>Large</v>
          </cell>
          <cell r="D48">
            <v>1500</v>
          </cell>
          <cell r="E48">
            <v>4</v>
          </cell>
          <cell r="F48">
            <v>6000</v>
          </cell>
          <cell r="G48">
            <v>1024</v>
          </cell>
          <cell r="H48">
            <v>4</v>
          </cell>
          <cell r="I48">
            <v>4096</v>
          </cell>
          <cell r="J48">
            <v>144</v>
          </cell>
          <cell r="K48">
            <v>1</v>
          </cell>
          <cell r="L48">
            <v>144</v>
          </cell>
          <cell r="M48">
            <v>361.41800000000001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er Service Class분류기준"/>
      <sheetName val="Service Class 조사(NT)"/>
      <sheetName val="Net-Backup"/>
      <sheetName val="Best1"/>
      <sheetName val="Tivoli"/>
      <sheetName val="SL Master(SKC화학사업부문)"/>
      <sheetName val="SL Master(SKC정보소재사업부문)"/>
      <sheetName val="SL Master(해운)"/>
      <sheetName val="SL Master(SKT)"/>
      <sheetName val="SL Master(케미칼)"/>
      <sheetName val="SL Master(건설)"/>
      <sheetName val="SL Master(SK Corp)"/>
      <sheetName val="SL Master(워커힐)"/>
      <sheetName val="index"/>
      <sheetName val="추이"/>
      <sheetName val="SKC Reuse대상"/>
      <sheetName val="Personnel"/>
      <sheetName val="선번"/>
      <sheetName val="Unix-price"/>
      <sheetName val="정산이름표"/>
      <sheetName val="Server_Service_Class분류기준"/>
      <sheetName val="Service_Class_조사(NT)"/>
      <sheetName val="SL_Master(SKC화학사업부문)"/>
      <sheetName val="SL_Master(SKC정보소재사업부문)"/>
      <sheetName val="SL_Master(해운)"/>
      <sheetName val="SL_Master(SKT)"/>
      <sheetName val="SL_Master(케미칼)"/>
      <sheetName val="SL_Master(건설)"/>
      <sheetName val="SL_Master(SK_Corp)"/>
      <sheetName val="SL_Master(워커힐)"/>
      <sheetName val="SKC_Reuse대상"/>
      <sheetName val="운영 비용(Infra)-원가"/>
      <sheetName val="Unix단가표"/>
    </sheetNames>
    <sheetDataSet>
      <sheetData sheetId="0"/>
      <sheetData sheetId="1"/>
      <sheetData sheetId="2" refreshError="1">
        <row r="4">
          <cell r="D4" t="str">
            <v>WEBBK</v>
          </cell>
        </row>
        <row r="5">
          <cell r="D5" t="str">
            <v>SKDB1</v>
          </cell>
        </row>
        <row r="6">
          <cell r="D6" t="str">
            <v>SKDB2</v>
          </cell>
        </row>
        <row r="7">
          <cell r="D7" t="str">
            <v>WEB</v>
          </cell>
        </row>
        <row r="8">
          <cell r="D8" t="str">
            <v>WEB2</v>
          </cell>
        </row>
        <row r="9">
          <cell r="D9" t="str">
            <v>WEBDEV</v>
          </cell>
        </row>
        <row r="10">
          <cell r="D10" t="str">
            <v>WEBSEARCH</v>
          </cell>
        </row>
        <row r="11">
          <cell r="D11" t="str">
            <v>real</v>
          </cell>
        </row>
        <row r="12">
          <cell r="D12" t="str">
            <v xml:space="preserve">eMail1 </v>
          </cell>
        </row>
        <row r="13">
          <cell r="D13" t="str">
            <v>eMail2</v>
          </cell>
        </row>
        <row r="14">
          <cell r="D14" t="str">
            <v xml:space="preserve">eMail3 </v>
          </cell>
        </row>
        <row r="15">
          <cell r="D15" t="str">
            <v xml:space="preserve">eMailTrc1 </v>
          </cell>
        </row>
        <row r="16">
          <cell r="D16" t="str">
            <v xml:space="preserve">eMailDB1 </v>
          </cell>
        </row>
        <row r="17">
          <cell r="D17" t="str">
            <v>TTLBK</v>
          </cell>
        </row>
        <row r="18">
          <cell r="D18" t="str">
            <v>TTLWEB1</v>
          </cell>
        </row>
        <row r="19">
          <cell r="D19" t="str">
            <v>TTLWEB2</v>
          </cell>
        </row>
        <row r="20">
          <cell r="D20" t="str">
            <v>TTLClubDB</v>
          </cell>
        </row>
        <row r="21">
          <cell r="D21" t="str">
            <v>TTLCoDB</v>
          </cell>
        </row>
        <row r="22">
          <cell r="D22" t="str">
            <v>TTLUsDB</v>
          </cell>
        </row>
        <row r="23">
          <cell r="D23" t="str">
            <v>TTLClubWAS</v>
          </cell>
        </row>
        <row r="24">
          <cell r="D24" t="str">
            <v>TTLChat</v>
          </cell>
        </row>
        <row r="25">
          <cell r="D25" t="str">
            <v>spedi5</v>
          </cell>
        </row>
        <row r="26">
          <cell r="D26" t="str">
            <v>spsam9</v>
          </cell>
        </row>
        <row r="27">
          <cell r="D27" t="str">
            <v>spsam13</v>
          </cell>
        </row>
        <row r="29">
          <cell r="D29" t="str">
            <v>itohost</v>
          </cell>
        </row>
        <row r="30">
          <cell r="D30" t="str">
            <v>msss01</v>
          </cell>
        </row>
        <row r="31">
          <cell r="D31" t="str">
            <v>mining</v>
          </cell>
        </row>
        <row r="32">
          <cell r="D32" t="str">
            <v>gwss01</v>
          </cell>
        </row>
        <row r="33">
          <cell r="D33" t="str">
            <v>ghww01</v>
          </cell>
        </row>
        <row r="34">
          <cell r="D34" t="str">
            <v>gess01</v>
          </cell>
        </row>
        <row r="35">
          <cell r="D35" t="str">
            <v>omas</v>
          </cell>
        </row>
        <row r="36">
          <cell r="D36" t="str">
            <v>isss01</v>
          </cell>
        </row>
        <row r="37">
          <cell r="D37" t="str">
            <v>mssh01</v>
          </cell>
        </row>
        <row r="38">
          <cell r="D38" t="str">
            <v>cisw02</v>
          </cell>
        </row>
        <row r="39">
          <cell r="D39" t="str">
            <v>issh01</v>
          </cell>
        </row>
        <row r="40">
          <cell r="D40" t="str">
            <v>gdss01</v>
          </cell>
        </row>
        <row r="41">
          <cell r="D41" t="str">
            <v>dwss01</v>
          </cell>
        </row>
        <row r="42">
          <cell r="D42" t="str">
            <v>dwss02</v>
          </cell>
        </row>
        <row r="43">
          <cell r="D43" t="str">
            <v>ctis01</v>
          </cell>
        </row>
        <row r="44">
          <cell r="D44" t="str">
            <v>ctis02</v>
          </cell>
        </row>
        <row r="45">
          <cell r="D45" t="str">
            <v>cycsc1</v>
          </cell>
        </row>
        <row r="46">
          <cell r="D46" t="str">
            <v>cycsc2</v>
          </cell>
        </row>
        <row r="49">
          <cell r="D49" t="str">
            <v>gwcs01</v>
          </cell>
        </row>
        <row r="50">
          <cell r="D50" t="str">
            <v>gwhs01</v>
          </cell>
        </row>
        <row r="51">
          <cell r="D51" t="str">
            <v>gwkw01</v>
          </cell>
        </row>
        <row r="52">
          <cell r="D52" t="str">
            <v>gwtj01</v>
          </cell>
        </row>
        <row r="53">
          <cell r="D53" t="str">
            <v>gwtg01</v>
          </cell>
        </row>
        <row r="54">
          <cell r="D54" t="str">
            <v>gwps01</v>
          </cell>
        </row>
        <row r="55">
          <cell r="D55" t="str">
            <v>gwkj01</v>
          </cell>
        </row>
        <row r="56">
          <cell r="D56" t="str">
            <v>smsc</v>
          </cell>
        </row>
        <row r="57">
          <cell r="D57" t="str">
            <v>ivory</v>
          </cell>
        </row>
        <row r="58">
          <cell r="D58" t="str">
            <v>lette</v>
          </cell>
        </row>
        <row r="59">
          <cell r="D59" t="str">
            <v>zeus</v>
          </cell>
        </row>
        <row r="60">
          <cell r="D60" t="str">
            <v>NewENCDB</v>
          </cell>
        </row>
        <row r="61">
          <cell r="D61" t="str">
            <v>BKmstr</v>
          </cell>
        </row>
        <row r="62">
          <cell r="D62" t="str">
            <v>bkvenus</v>
          </cell>
        </row>
        <row r="63">
          <cell r="D63" t="str">
            <v>bkearth</v>
          </cell>
        </row>
        <row r="64">
          <cell r="D64" t="str">
            <v>bkmars</v>
          </cell>
        </row>
        <row r="65">
          <cell r="D65" t="str">
            <v>bkjupiter</v>
          </cell>
        </row>
        <row r="66">
          <cell r="D66" t="str">
            <v>rooky</v>
          </cell>
        </row>
        <row r="67">
          <cell r="D67" t="str">
            <v>sunny</v>
          </cell>
        </row>
        <row r="68">
          <cell r="D68" t="str">
            <v>bobby</v>
          </cell>
        </row>
        <row r="69">
          <cell r="D69" t="str">
            <v>spnode15(adsm)</v>
          </cell>
        </row>
        <row r="70">
          <cell r="D70" t="str">
            <v>juddy</v>
          </cell>
        </row>
        <row r="71">
          <cell r="D71" t="str">
            <v>ammy</v>
          </cell>
        </row>
        <row r="72">
          <cell r="D72" t="str">
            <v>skcams</v>
          </cell>
        </row>
        <row r="73">
          <cell r="D73" t="str">
            <v>crmdbprd</v>
          </cell>
        </row>
        <row r="74">
          <cell r="D74" t="str">
            <v>kiddy</v>
          </cell>
        </row>
        <row r="75">
          <cell r="D75" t="str">
            <v>liberty</v>
          </cell>
        </row>
        <row r="76">
          <cell r="D76" t="str">
            <v>nesty</v>
          </cell>
        </row>
        <row r="77">
          <cell r="D77" t="str">
            <v>punky</v>
          </cell>
        </row>
        <row r="78">
          <cell r="D78" t="str">
            <v>quety</v>
          </cell>
        </row>
        <row r="79">
          <cell r="D79" t="str">
            <v>ykpb</v>
          </cell>
        </row>
        <row r="80">
          <cell r="D80" t="str">
            <v>ocbsapp1</v>
          </cell>
        </row>
        <row r="81">
          <cell r="D81" t="str">
            <v>ocb_coupon</v>
          </cell>
        </row>
        <row r="82">
          <cell r="D82" t="str">
            <v>ocbsdb1</v>
          </cell>
        </row>
        <row r="83">
          <cell r="D83" t="str">
            <v>fep1</v>
          </cell>
        </row>
        <row r="84">
          <cell r="D84" t="str">
            <v>fep2</v>
          </cell>
        </row>
        <row r="85">
          <cell r="D85" t="str">
            <v>ocbspg</v>
          </cell>
        </row>
        <row r="86">
          <cell r="D86" t="str">
            <v>skcms</v>
          </cell>
        </row>
        <row r="87">
          <cell r="D87" t="str">
            <v>skcms_app</v>
          </cell>
        </row>
        <row r="88">
          <cell r="D88" t="str">
            <v>BKMSTR</v>
          </cell>
        </row>
        <row r="89">
          <cell r="D89" t="str">
            <v>bkmercury</v>
          </cell>
        </row>
        <row r="90">
          <cell r="D90" t="str">
            <v>bkntadmin</v>
          </cell>
        </row>
        <row r="91">
          <cell r="D91" t="str">
            <v>hub smp001-4</v>
          </cell>
        </row>
        <row r="92">
          <cell r="D92" t="str">
            <v>hub smp001-5</v>
          </cell>
        </row>
        <row r="93">
          <cell r="D93" t="str">
            <v>hub smp002-4</v>
          </cell>
        </row>
        <row r="94">
          <cell r="D94" t="str">
            <v>hub smp002-5</v>
          </cell>
        </row>
        <row r="95">
          <cell r="D95" t="str">
            <v>hub smp003-4</v>
          </cell>
        </row>
        <row r="96">
          <cell r="D96" t="str">
            <v>hub smp003-5</v>
          </cell>
        </row>
        <row r="97">
          <cell r="D97" t="str">
            <v>hub smp004-4</v>
          </cell>
        </row>
        <row r="98">
          <cell r="D98" t="str">
            <v>hub smp004-5</v>
          </cell>
        </row>
        <row r="99">
          <cell r="D99" t="str">
            <v>hub smp005-4</v>
          </cell>
        </row>
        <row r="100">
          <cell r="D100" t="str">
            <v>hub smp005-5</v>
          </cell>
        </row>
        <row r="101">
          <cell r="D101" t="str">
            <v>hub smp006-4</v>
          </cell>
        </row>
        <row r="102">
          <cell r="D102" t="str">
            <v>hub smp006-5</v>
          </cell>
        </row>
        <row r="103">
          <cell r="D103" t="str">
            <v>hub smp007-4</v>
          </cell>
        </row>
        <row r="104">
          <cell r="D104" t="str">
            <v>hub smp007-5</v>
          </cell>
        </row>
        <row r="105">
          <cell r="D105" t="str">
            <v>mart smp001-4</v>
          </cell>
        </row>
        <row r="106">
          <cell r="D106" t="str">
            <v>mart smp001-5</v>
          </cell>
        </row>
        <row r="107">
          <cell r="D107" t="str">
            <v>mart smp002-4</v>
          </cell>
        </row>
        <row r="108">
          <cell r="D108" t="str">
            <v>mart smp002-5</v>
          </cell>
        </row>
        <row r="109">
          <cell r="D109" t="str">
            <v>stage smp001-4</v>
          </cell>
        </row>
        <row r="110">
          <cell r="D110" t="str">
            <v>stage smp001-5</v>
          </cell>
        </row>
        <row r="111">
          <cell r="D111" t="str">
            <v>stage smp002-4</v>
          </cell>
        </row>
        <row r="112">
          <cell r="D112" t="str">
            <v>stage smp002-5</v>
          </cell>
        </row>
        <row r="113">
          <cell r="D113" t="str">
            <v>skc_dev14</v>
          </cell>
        </row>
        <row r="114">
          <cell r="D114" t="str">
            <v>skc_dev15</v>
          </cell>
        </row>
        <row r="115">
          <cell r="D115" t="str">
            <v>skett</v>
          </cell>
        </row>
        <row r="116">
          <cell r="D116" t="str">
            <v>skmining</v>
          </cell>
        </row>
        <row r="117">
          <cell r="D117" t="str">
            <v>skg_min</v>
          </cell>
        </row>
        <row r="118">
          <cell r="D118" t="str">
            <v>dbm_gis</v>
          </cell>
        </row>
        <row r="119">
          <cell r="D119" t="str">
            <v>SK_WEB</v>
          </cell>
        </row>
        <row r="120">
          <cell r="D120" t="str">
            <v>SK_MOLAP</v>
          </cell>
        </row>
        <row r="121">
          <cell r="D121" t="str">
            <v>SK_ROLAP</v>
          </cell>
        </row>
        <row r="122">
          <cell r="D122" t="str">
            <v>seis</v>
          </cell>
        </row>
        <row r="123">
          <cell r="D123" t="str">
            <v>tt</v>
          </cell>
        </row>
        <row r="124">
          <cell r="D124" t="str">
            <v>RTC</v>
          </cell>
        </row>
        <row r="125">
          <cell r="D125" t="str">
            <v>AW01</v>
          </cell>
        </row>
        <row r="126">
          <cell r="D126" t="str">
            <v>idms</v>
          </cell>
        </row>
        <row r="127">
          <cell r="D127" t="str">
            <v>wms1</v>
          </cell>
        </row>
        <row r="128">
          <cell r="D128" t="str">
            <v>laws</v>
          </cell>
        </row>
        <row r="129">
          <cell r="D129" t="str">
            <v>lims</v>
          </cell>
        </row>
        <row r="130">
          <cell r="D130" t="str">
            <v>spoms</v>
          </cell>
        </row>
        <row r="131">
          <cell r="D131" t="str">
            <v>sptims</v>
          </cell>
        </row>
        <row r="132">
          <cell r="D132" t="str">
            <v>giso</v>
          </cell>
        </row>
        <row r="133">
          <cell r="D133" t="str">
            <v>clxfms</v>
          </cell>
        </row>
        <row r="134">
          <cell r="D134" t="str">
            <v>cti_db1</v>
          </cell>
        </row>
        <row r="135">
          <cell r="D135" t="str">
            <v>cti_db2</v>
          </cell>
        </row>
        <row r="136">
          <cell r="D136" t="str">
            <v>corpdb1</v>
          </cell>
        </row>
        <row r="137">
          <cell r="D137" t="str">
            <v>corpdb2</v>
          </cell>
        </row>
        <row r="138">
          <cell r="D138" t="str">
            <v>sky2</v>
          </cell>
        </row>
        <row r="139">
          <cell r="D139" t="str">
            <v>skgmail</v>
          </cell>
        </row>
        <row r="140">
          <cell r="D140" t="str">
            <v>dtoddb</v>
          </cell>
        </row>
        <row r="141">
          <cell r="D141" t="str">
            <v>dtodcs1</v>
          </cell>
        </row>
        <row r="142">
          <cell r="D142" t="str">
            <v>dtodcs2</v>
          </cell>
        </row>
        <row r="143">
          <cell r="D143" t="str">
            <v>skgfw_1</v>
          </cell>
        </row>
        <row r="144">
          <cell r="D144" t="str">
            <v>skgfw_2</v>
          </cell>
        </row>
        <row r="145">
          <cell r="D145" t="str">
            <v>web-app</v>
          </cell>
        </row>
        <row r="146">
          <cell r="D146" t="str">
            <v>dtodtr</v>
          </cell>
        </row>
        <row r="147">
          <cell r="D147" t="str">
            <v>DB-Server</v>
          </cell>
        </row>
        <row r="148">
          <cell r="D148" t="str">
            <v>misweb</v>
          </cell>
        </row>
        <row r="149">
          <cell r="D149" t="str">
            <v>skdmis</v>
          </cell>
        </row>
        <row r="150">
          <cell r="D150" t="str">
            <v>skdb21</v>
          </cell>
        </row>
        <row r="151">
          <cell r="D151" t="str">
            <v>skdb2t</v>
          </cell>
        </row>
        <row r="152">
          <cell r="D152" t="str">
            <v>sktmk1</v>
          </cell>
        </row>
        <row r="153">
          <cell r="D153" t="str">
            <v>skgwmisp</v>
          </cell>
        </row>
        <row r="154">
          <cell r="D154" t="str">
            <v>skgwmist</v>
          </cell>
        </row>
        <row r="155">
          <cell r="D155" t="str">
            <v>skgeaim</v>
          </cell>
        </row>
        <row r="156">
          <cell r="D156" t="str">
            <v>skgeaib</v>
          </cell>
        </row>
        <row r="157">
          <cell r="D157" t="str">
            <v>skgedw</v>
          </cell>
        </row>
        <row r="158">
          <cell r="D158" t="str">
            <v>hkss</v>
          </cell>
        </row>
        <row r="159">
          <cell r="D159" t="str">
            <v>smr50</v>
          </cell>
        </row>
        <row r="160">
          <cell r="D160" t="str">
            <v>image</v>
          </cell>
        </row>
        <row r="161">
          <cell r="D161" t="str">
            <v>skesdb</v>
          </cell>
        </row>
        <row r="162">
          <cell r="D162" t="str">
            <v>skesweb</v>
          </cell>
        </row>
        <row r="163">
          <cell r="D163" t="str">
            <v>skesweb1</v>
          </cell>
        </row>
        <row r="164">
          <cell r="D164" t="str">
            <v>wcms</v>
          </cell>
        </row>
        <row r="165">
          <cell r="D165" t="str">
            <v>erp_prod</v>
          </cell>
        </row>
        <row r="166">
          <cell r="D166" t="str">
            <v>erp_dev</v>
          </cell>
        </row>
        <row r="167">
          <cell r="D167" t="str">
            <v>misdev</v>
          </cell>
        </row>
        <row r="168">
          <cell r="D168" t="str">
            <v>HUVIS</v>
          </cell>
        </row>
        <row r="169">
          <cell r="D169" t="str">
            <v>misskp</v>
          </cell>
        </row>
        <row r="170">
          <cell r="D170" t="str">
            <v>billing</v>
          </cell>
        </row>
        <row r="171">
          <cell r="D171" t="str">
            <v>gathering</v>
          </cell>
        </row>
        <row r="172">
          <cell r="D172" t="str">
            <v>mobiyadb</v>
          </cell>
        </row>
        <row r="173">
          <cell r="D173" t="str">
            <v>mobiyaap</v>
          </cell>
        </row>
        <row r="174">
          <cell r="D174" t="str">
            <v>ispn9</v>
          </cell>
        </row>
        <row r="175">
          <cell r="D175" t="str">
            <v>ispn13</v>
          </cell>
        </row>
        <row r="176">
          <cell r="D176" t="str">
            <v>skccerpdb</v>
          </cell>
        </row>
        <row r="177">
          <cell r="D177" t="str">
            <v>skccerpap</v>
          </cell>
        </row>
        <row r="178">
          <cell r="D178" t="str">
            <v>ctiback</v>
          </cell>
        </row>
        <row r="179">
          <cell r="D179" t="str">
            <v>Best1</v>
          </cell>
        </row>
        <row r="180">
          <cell r="D180" t="str">
            <v>SLA</v>
          </cell>
        </row>
        <row r="181">
          <cell r="D181" t="str">
            <v>SKSMS</v>
          </cell>
        </row>
        <row r="182">
          <cell r="D182" t="str">
            <v>cscproc</v>
          </cell>
        </row>
        <row r="183">
          <cell r="D183" t="str">
            <v>ctiproc</v>
          </cell>
        </row>
        <row r="184">
          <cell r="D184" t="str">
            <v>ws000</v>
          </cell>
        </row>
        <row r="185">
          <cell r="D185" t="str">
            <v>FBS</v>
          </cell>
        </row>
        <row r="186">
          <cell r="D186" t="str">
            <v>skcc_reporta</v>
          </cell>
        </row>
        <row r="187">
          <cell r="D187" t="str">
            <v>perfman</v>
          </cell>
        </row>
      </sheetData>
      <sheetData sheetId="3" refreshError="1">
        <row r="3">
          <cell r="C3" t="str">
            <v>huvis</v>
          </cell>
        </row>
        <row r="4">
          <cell r="C4" t="str">
            <v>cscproc</v>
          </cell>
        </row>
        <row r="5">
          <cell r="C5" t="str">
            <v>ctiproc</v>
          </cell>
        </row>
        <row r="6">
          <cell r="C6" t="str">
            <v>SMSM</v>
          </cell>
        </row>
        <row r="7">
          <cell r="C7" t="str">
            <v>FBS</v>
          </cell>
        </row>
        <row r="8">
          <cell r="C8" t="str">
            <v>misskp</v>
          </cell>
        </row>
        <row r="9">
          <cell r="C9" t="str">
            <v>misdev</v>
          </cell>
        </row>
        <row r="10">
          <cell r="C10" t="str">
            <v>sa2000</v>
          </cell>
        </row>
        <row r="11">
          <cell r="C11" t="str">
            <v>AW01</v>
          </cell>
        </row>
        <row r="12">
          <cell r="C12" t="str">
            <v>corpdb1</v>
          </cell>
        </row>
        <row r="13">
          <cell r="C13" t="str">
            <v>corpdb2</v>
          </cell>
        </row>
        <row r="14">
          <cell r="C14" t="str">
            <v>CTI_CO1</v>
          </cell>
        </row>
        <row r="15">
          <cell r="C15" t="str">
            <v>CTI_CO2</v>
          </cell>
        </row>
        <row r="16">
          <cell r="C16" t="str">
            <v>fep1</v>
          </cell>
        </row>
        <row r="17">
          <cell r="C17" t="str">
            <v>fep2</v>
          </cell>
        </row>
        <row r="18">
          <cell r="C18" t="str">
            <v>GISO</v>
          </cell>
        </row>
        <row r="19">
          <cell r="C19" t="str">
            <v>kiddy</v>
          </cell>
        </row>
        <row r="20">
          <cell r="C20" t="str">
            <v>LAWS</v>
          </cell>
        </row>
        <row r="21">
          <cell r="C21" t="str">
            <v>liberty</v>
          </cell>
        </row>
        <row r="22">
          <cell r="C22" t="str">
            <v>nesty</v>
          </cell>
        </row>
        <row r="23">
          <cell r="C23" t="str">
            <v>ocbsdb1</v>
          </cell>
        </row>
        <row r="24">
          <cell r="C24" t="str">
            <v>ocbspg</v>
          </cell>
        </row>
        <row r="25">
          <cell r="C25" t="str">
            <v>oxy</v>
          </cell>
        </row>
        <row r="26">
          <cell r="C26" t="str">
            <v>punky</v>
          </cell>
        </row>
        <row r="27">
          <cell r="C27" t="str">
            <v>quety</v>
          </cell>
        </row>
        <row r="28">
          <cell r="C28" t="str">
            <v>rooky</v>
          </cell>
        </row>
        <row r="29">
          <cell r="C29" t="str">
            <v>skcms_app</v>
          </cell>
        </row>
        <row r="30">
          <cell r="C30" t="str">
            <v>skcms</v>
          </cell>
        </row>
        <row r="31">
          <cell r="C31" t="str">
            <v>SPTIMS</v>
          </cell>
        </row>
        <row r="32">
          <cell r="C32" t="str">
            <v>sunny</v>
          </cell>
        </row>
        <row r="33">
          <cell r="C33" t="str">
            <v>utoweb2</v>
          </cell>
        </row>
        <row r="34">
          <cell r="C34" t="str">
            <v>ocbsapp1</v>
          </cell>
        </row>
        <row r="35">
          <cell r="C35" t="str">
            <v>oilqas</v>
          </cell>
        </row>
        <row r="36">
          <cell r="C36" t="str">
            <v>skeserpd</v>
          </cell>
        </row>
        <row r="37">
          <cell r="C37" t="str">
            <v>skcorpbwd</v>
          </cell>
        </row>
        <row r="38">
          <cell r="C38" t="str">
            <v>skcorperpda1</v>
          </cell>
        </row>
        <row r="39">
          <cell r="C39" t="str">
            <v>skcorpehrda1</v>
          </cell>
        </row>
        <row r="40">
          <cell r="C40" t="str">
            <v>oilqas</v>
          </cell>
        </row>
        <row r="41">
          <cell r="C41" t="str">
            <v>AS84</v>
          </cell>
        </row>
        <row r="42">
          <cell r="C42" t="str">
            <v>erp_prod</v>
          </cell>
        </row>
        <row r="43">
          <cell r="C43" t="str">
            <v>s1016613</v>
          </cell>
        </row>
        <row r="44">
          <cell r="C44" t="str">
            <v>erp_dev</v>
          </cell>
        </row>
        <row r="45">
          <cell r="C45" t="str">
            <v>f70</v>
          </cell>
        </row>
        <row r="46">
          <cell r="C46" t="str">
            <v>misweb</v>
          </cell>
        </row>
        <row r="47">
          <cell r="C47" t="str">
            <v>skdb21</v>
          </cell>
        </row>
        <row r="48">
          <cell r="C48" t="str">
            <v>skgmail</v>
          </cell>
        </row>
        <row r="49">
          <cell r="C49" t="str">
            <v>sktmk1</v>
          </cell>
        </row>
        <row r="50">
          <cell r="C50" t="str">
            <v>skgwmisp</v>
          </cell>
        </row>
        <row r="51">
          <cell r="C51" t="str">
            <v>tees17</v>
          </cell>
        </row>
        <row r="52">
          <cell r="C52" t="str">
            <v>erp_ap1</v>
          </cell>
        </row>
        <row r="53">
          <cell r="C53" t="str">
            <v>erp_main</v>
          </cell>
        </row>
        <row r="54">
          <cell r="C54" t="str">
            <v>mes_ca</v>
          </cell>
        </row>
        <row r="55">
          <cell r="C55" t="str">
            <v>mes_sw</v>
          </cell>
        </row>
        <row r="56">
          <cell r="C56" t="str">
            <v>skc1</v>
          </cell>
        </row>
        <row r="57">
          <cell r="C57" t="str">
            <v>skchp1</v>
          </cell>
        </row>
        <row r="58">
          <cell r="C58" t="str">
            <v>skcweb</v>
          </cell>
        </row>
        <row r="59">
          <cell r="C59" t="str">
            <v>erp_dev</v>
          </cell>
        </row>
        <row r="60">
          <cell r="C60" t="str">
            <v>skesedi</v>
          </cell>
        </row>
        <row r="61">
          <cell r="C61" t="str">
            <v>whhost1</v>
          </cell>
        </row>
        <row r="62">
          <cell r="C62" t="str">
            <v>whhost4</v>
          </cell>
        </row>
      </sheetData>
      <sheetData sheetId="4" refreshError="1">
        <row r="4">
          <cell r="H4" t="str">
            <v>huvis</v>
          </cell>
        </row>
        <row r="5">
          <cell r="H5" t="str">
            <v>Hub smp001-4</v>
          </cell>
        </row>
        <row r="6">
          <cell r="H6" t="str">
            <v>Hub smp002-4</v>
          </cell>
        </row>
        <row r="7">
          <cell r="H7" t="str">
            <v>Hub smp003-4</v>
          </cell>
        </row>
        <row r="8">
          <cell r="H8" t="str">
            <v>Hub smp004-4</v>
          </cell>
        </row>
        <row r="9">
          <cell r="H9" t="str">
            <v>Hub smp001-5</v>
          </cell>
        </row>
        <row r="10">
          <cell r="H10" t="str">
            <v>Hub smp002-5</v>
          </cell>
        </row>
        <row r="11">
          <cell r="H11" t="str">
            <v>Hub smp003-5</v>
          </cell>
        </row>
        <row r="12">
          <cell r="H12" t="str">
            <v>Hub smp004-5</v>
          </cell>
        </row>
        <row r="13">
          <cell r="H13" t="str">
            <v>Hub smp005-5 (hub10)</v>
          </cell>
        </row>
        <row r="14">
          <cell r="H14" t="str">
            <v>kmt0</v>
          </cell>
        </row>
        <row r="15">
          <cell r="H15" t="str">
            <v>kmt1</v>
          </cell>
        </row>
        <row r="16">
          <cell r="H16" t="str">
            <v>skt22</v>
          </cell>
        </row>
        <row r="17">
          <cell r="H17" t="str">
            <v>kmt2</v>
          </cell>
        </row>
        <row r="18">
          <cell r="H18" t="str">
            <v>kmt5</v>
          </cell>
        </row>
        <row r="19">
          <cell r="H19" t="str">
            <v>kmt10</v>
          </cell>
        </row>
        <row r="20">
          <cell r="H20" t="str">
            <v>kmt0b</v>
          </cell>
        </row>
        <row r="21">
          <cell r="H21" t="str">
            <v>cis0</v>
          </cell>
        </row>
        <row r="22">
          <cell r="H22" t="str">
            <v>FOS01</v>
          </cell>
        </row>
        <row r="23">
          <cell r="H23" t="str">
            <v>FOS02</v>
          </cell>
        </row>
        <row r="24">
          <cell r="H24" t="str">
            <v>CDSEIS01</v>
          </cell>
        </row>
        <row r="25">
          <cell r="H25" t="str">
            <v>CDSEIS02</v>
          </cell>
        </row>
        <row r="26">
          <cell r="H26" t="str">
            <v>cqis2</v>
          </cell>
        </row>
        <row r="27">
          <cell r="H27" t="str">
            <v>cqis1</v>
          </cell>
        </row>
        <row r="28">
          <cell r="H28" t="str">
            <v>skdb1</v>
          </cell>
        </row>
        <row r="29">
          <cell r="H29" t="str">
            <v>cmwas2</v>
          </cell>
        </row>
        <row r="30">
          <cell r="H30" t="str">
            <v>r2k01</v>
          </cell>
        </row>
        <row r="31">
          <cell r="H31" t="str">
            <v>r2k02</v>
          </cell>
        </row>
        <row r="32">
          <cell r="H32" t="str">
            <v>crmux01</v>
          </cell>
        </row>
        <row r="33">
          <cell r="H33" t="str">
            <v>tele1</v>
          </cell>
        </row>
        <row r="34">
          <cell r="H34" t="str">
            <v>tele2</v>
          </cell>
        </row>
        <row r="35">
          <cell r="H35" t="str">
            <v>cscweb</v>
          </cell>
        </row>
        <row r="36">
          <cell r="H36" t="str">
            <v>ctiback</v>
          </cell>
        </row>
        <row r="37">
          <cell r="H37" t="str">
            <v>ctiproc</v>
          </cell>
        </row>
        <row r="38">
          <cell r="H38" t="str">
            <v>cscback</v>
          </cell>
        </row>
        <row r="39">
          <cell r="H39" t="str">
            <v>whhost2</v>
          </cell>
        </row>
        <row r="40">
          <cell r="H40" t="str">
            <v>whhost1</v>
          </cell>
        </row>
        <row r="41">
          <cell r="H41" t="str">
            <v>whhost3</v>
          </cell>
        </row>
        <row r="42">
          <cell r="H42" t="str">
            <v>dbm01</v>
          </cell>
        </row>
        <row r="43">
          <cell r="H43" t="str">
            <v>dbm03</v>
          </cell>
        </row>
        <row r="44">
          <cell r="H44" t="str">
            <v>dbm05</v>
          </cell>
        </row>
        <row r="45">
          <cell r="H45" t="str">
            <v>dbm02</v>
          </cell>
        </row>
        <row r="46">
          <cell r="H46" t="str">
            <v>CDS1</v>
          </cell>
        </row>
        <row r="47">
          <cell r="H47" t="str">
            <v>CDS2</v>
          </cell>
        </row>
        <row r="48">
          <cell r="H48" t="str">
            <v>crms</v>
          </cell>
        </row>
        <row r="49">
          <cell r="H49" t="str">
            <v>cmwas5</v>
          </cell>
        </row>
        <row r="50">
          <cell r="H50" t="str">
            <v>cmwas4</v>
          </cell>
        </row>
        <row r="51">
          <cell r="H51" t="str">
            <v>cscproc</v>
          </cell>
        </row>
        <row r="52">
          <cell r="H52" t="str">
            <v>isas1</v>
          </cell>
        </row>
        <row r="53">
          <cell r="H53" t="str">
            <v>mes_sw</v>
          </cell>
        </row>
        <row r="54">
          <cell r="H54" t="str">
            <v>erp_dev</v>
          </cell>
        </row>
        <row r="55">
          <cell r="H55" t="str">
            <v>cmwas3</v>
          </cell>
        </row>
        <row r="56">
          <cell r="H56" t="str">
            <v>ntopb01</v>
          </cell>
        </row>
        <row r="57">
          <cell r="H57" t="str">
            <v>ntopb02</v>
          </cell>
        </row>
        <row r="58">
          <cell r="H58" t="str">
            <v>skmining</v>
          </cell>
        </row>
        <row r="59">
          <cell r="H59" t="str">
            <v>skett</v>
          </cell>
        </row>
        <row r="60">
          <cell r="H60" t="str">
            <v>hotel</v>
          </cell>
        </row>
        <row r="61">
          <cell r="H61" t="str">
            <v>whhost5</v>
          </cell>
        </row>
        <row r="62">
          <cell r="H62" t="str">
            <v>crmdbprd</v>
          </cell>
        </row>
        <row r="63">
          <cell r="H63" t="str">
            <v>erp_main</v>
          </cell>
        </row>
        <row r="64">
          <cell r="H64" t="str">
            <v>erp_ap1</v>
          </cell>
        </row>
        <row r="65">
          <cell r="H65" t="str">
            <v>skdb2</v>
          </cell>
        </row>
        <row r="66">
          <cell r="H66" t="str">
            <v>isas2</v>
          </cell>
        </row>
        <row r="67">
          <cell r="H67" t="str">
            <v>LCCDWEB2</v>
          </cell>
        </row>
        <row r="68">
          <cell r="H68" t="str">
            <v>LCCDWEB1</v>
          </cell>
        </row>
        <row r="69">
          <cell r="H69" t="str">
            <v>LCWEB1</v>
          </cell>
        </row>
        <row r="70">
          <cell r="H70" t="str">
            <v>LCWEB2</v>
          </cell>
        </row>
        <row r="71">
          <cell r="H71" t="str">
            <v>mes_ca</v>
          </cell>
        </row>
        <row r="72">
          <cell r="H72" t="str">
            <v>LCWAS1</v>
          </cell>
        </row>
        <row r="73">
          <cell r="H73" t="str">
            <v>LCWAS2</v>
          </cell>
        </row>
        <row r="74">
          <cell r="H74" t="str">
            <v>cmwas1</v>
          </cell>
        </row>
        <row r="75">
          <cell r="H75" t="str">
            <v>cmif1</v>
          </cell>
        </row>
        <row r="76">
          <cell r="H76" t="str">
            <v>pointbox</v>
          </cell>
        </row>
        <row r="77">
          <cell r="H77" t="str">
            <v>CTI_CO1</v>
          </cell>
        </row>
        <row r="78">
          <cell r="H78" t="str">
            <v>CTI_CO2</v>
          </cell>
        </row>
        <row r="79">
          <cell r="H79" t="str">
            <v>cmif2</v>
          </cell>
        </row>
        <row r="80">
          <cell r="H80" t="str">
            <v>cmif3</v>
          </cell>
        </row>
        <row r="81">
          <cell r="H81" t="str">
            <v>edbm</v>
          </cell>
        </row>
        <row r="82">
          <cell r="H82" t="str">
            <v>eMailDB1</v>
          </cell>
        </row>
        <row r="83">
          <cell r="H83" t="str">
            <v>erp_prod</v>
          </cell>
        </row>
        <row r="84">
          <cell r="H84" t="str">
            <v>erp_dev</v>
          </cell>
        </row>
        <row r="85">
          <cell r="H85" t="str">
            <v>spip1(spedi1)</v>
          </cell>
        </row>
        <row r="86">
          <cell r="H86" t="str">
            <v>spip5(spedi5)</v>
          </cell>
        </row>
        <row r="87">
          <cell r="H87" t="str">
            <v>sptb9(spsam9)</v>
          </cell>
        </row>
        <row r="88">
          <cell r="H88" t="str">
            <v>sptb13(spsam13)</v>
          </cell>
        </row>
        <row r="89">
          <cell r="H89" t="str">
            <v>aw01</v>
          </cell>
        </row>
        <row r="90">
          <cell r="H90" t="str">
            <v>LIMS</v>
          </cell>
        </row>
        <row r="91">
          <cell r="H91" t="str">
            <v>IDMS</v>
          </cell>
        </row>
        <row r="92">
          <cell r="H92" t="str">
            <v>LAWS</v>
          </cell>
        </row>
        <row r="93">
          <cell r="H93" t="str">
            <v>medias</v>
          </cell>
        </row>
        <row r="94">
          <cell r="H94" t="str">
            <v>GISO</v>
          </cell>
        </row>
        <row r="95">
          <cell r="H95" t="str">
            <v>wms1</v>
          </cell>
        </row>
        <row r="96">
          <cell r="H96" t="str">
            <v>skdb21</v>
          </cell>
        </row>
        <row r="97">
          <cell r="H97" t="str">
            <v>skdb2t</v>
          </cell>
        </row>
        <row r="98">
          <cell r="H98" t="str">
            <v>ispn25</v>
          </cell>
        </row>
        <row r="99">
          <cell r="H99" t="str">
            <v>sees17</v>
          </cell>
        </row>
        <row r="100">
          <cell r="H100" t="str">
            <v>rooky</v>
          </cell>
        </row>
        <row r="101">
          <cell r="H101" t="str">
            <v>sunny</v>
          </cell>
        </row>
        <row r="102">
          <cell r="H102" t="str">
            <v>sktmk1</v>
          </cell>
        </row>
        <row r="103">
          <cell r="H103" t="str">
            <v>bobby</v>
          </cell>
        </row>
        <row r="104">
          <cell r="H104" t="str">
            <v>ykpb</v>
          </cell>
        </row>
        <row r="105">
          <cell r="H105" t="str">
            <v>kiddy</v>
          </cell>
        </row>
        <row r="106">
          <cell r="H106" t="str">
            <v>whhost4</v>
          </cell>
        </row>
        <row r="107">
          <cell r="H107" t="str">
            <v>skesedi</v>
          </cell>
        </row>
        <row r="108">
          <cell r="H108" t="str">
            <v>smsg</v>
          </cell>
        </row>
        <row r="109">
          <cell r="H109" t="str">
            <v>best1</v>
          </cell>
        </row>
        <row r="110">
          <cell r="H110" t="str">
            <v>smce</v>
          </cell>
        </row>
        <row r="111">
          <cell r="H111" t="str">
            <v>smsm</v>
          </cell>
        </row>
        <row r="112">
          <cell r="H112" t="str">
            <v>sksms</v>
          </cell>
        </row>
        <row r="113">
          <cell r="H113" t="str">
            <v>smr50</v>
          </cell>
        </row>
        <row r="114">
          <cell r="H114" t="str">
            <v>air</v>
          </cell>
        </row>
        <row r="115">
          <cell r="H115" t="str">
            <v>sky</v>
          </cell>
        </row>
        <row r="116">
          <cell r="H116" t="str">
            <v>skltrs</v>
          </cell>
        </row>
        <row r="117">
          <cell r="H117" t="str">
            <v>tt</v>
          </cell>
        </row>
        <row r="118">
          <cell r="H118" t="str">
            <v>RTCORA</v>
          </cell>
        </row>
        <row r="119">
          <cell r="H119" t="str">
            <v>skgdw</v>
          </cell>
        </row>
        <row r="120">
          <cell r="H120" t="str">
            <v>FBS</v>
          </cell>
        </row>
        <row r="121">
          <cell r="H121" t="str">
            <v>seesweb</v>
          </cell>
        </row>
        <row r="122">
          <cell r="H122" t="str">
            <v>EDI1</v>
          </cell>
        </row>
        <row r="123">
          <cell r="H123" t="str">
            <v>EDI2</v>
          </cell>
        </row>
        <row r="124">
          <cell r="H124" t="str">
            <v>skgeaim</v>
          </cell>
        </row>
        <row r="125">
          <cell r="H125" t="str">
            <v>skgeaib</v>
          </cell>
        </row>
        <row r="126">
          <cell r="H126" t="str">
            <v>SPTIMS</v>
          </cell>
        </row>
        <row r="127">
          <cell r="H127" t="str">
            <v>ispn5</v>
          </cell>
        </row>
        <row r="128">
          <cell r="H128" t="str">
            <v>ispn9</v>
          </cell>
        </row>
        <row r="129">
          <cell r="H129" t="str">
            <v>ispn11</v>
          </cell>
        </row>
        <row r="130">
          <cell r="H130" t="str">
            <v>ispn13</v>
          </cell>
        </row>
        <row r="131">
          <cell r="H131" t="str">
            <v>skcams</v>
          </cell>
        </row>
        <row r="132">
          <cell r="H132" t="str">
            <v>liberty</v>
          </cell>
        </row>
        <row r="133">
          <cell r="H133" t="str">
            <v>nesty</v>
          </cell>
        </row>
        <row r="134">
          <cell r="H134" t="str">
            <v>oxy</v>
          </cell>
        </row>
        <row r="135">
          <cell r="H135" t="str">
            <v>punky</v>
          </cell>
        </row>
        <row r="136">
          <cell r="H136" t="str">
            <v>quety</v>
          </cell>
        </row>
        <row r="137">
          <cell r="H137" t="str">
            <v>spnode15</v>
          </cell>
        </row>
        <row r="138">
          <cell r="H138" t="str">
            <v>juddy</v>
          </cell>
        </row>
        <row r="139">
          <cell r="H139" t="str">
            <v>ammy</v>
          </cell>
        </row>
        <row r="140">
          <cell r="H140" t="str">
            <v>skccerpdb</v>
          </cell>
        </row>
        <row r="141">
          <cell r="H141" t="str">
            <v>skccerpap</v>
          </cell>
        </row>
        <row r="142">
          <cell r="H142" t="str">
            <v>BKMSTR</v>
          </cell>
        </row>
        <row r="143">
          <cell r="H143" t="str">
            <v>skgwmist</v>
          </cell>
        </row>
        <row r="144">
          <cell r="H144" t="str">
            <v>sktivrmain</v>
          </cell>
        </row>
        <row r="145">
          <cell r="H145" t="str">
            <v>sktivrback</v>
          </cell>
        </row>
        <row r="146">
          <cell r="H146" t="str">
            <v>corpdb1</v>
          </cell>
        </row>
        <row r="147">
          <cell r="H147" t="str">
            <v>corpdb2</v>
          </cell>
        </row>
        <row r="148">
          <cell r="H148" t="str">
            <v>skgwmisp</v>
          </cell>
        </row>
        <row r="149">
          <cell r="H149" t="str">
            <v>bkvenus</v>
          </cell>
        </row>
        <row r="150">
          <cell r="H150" t="str">
            <v>bkearth</v>
          </cell>
        </row>
        <row r="151">
          <cell r="H151" t="str">
            <v>ocbspg</v>
          </cell>
        </row>
        <row r="152">
          <cell r="H152" t="str">
            <v>ocbsdb1</v>
          </cell>
        </row>
        <row r="153">
          <cell r="H153" t="str">
            <v>SKEBS</v>
          </cell>
        </row>
        <row r="154">
          <cell r="H154" t="str">
            <v>fep1</v>
          </cell>
        </row>
        <row r="155">
          <cell r="H155" t="str">
            <v>fep2</v>
          </cell>
        </row>
        <row r="156">
          <cell r="H156" t="str">
            <v>ocbsapp1</v>
          </cell>
        </row>
        <row r="157">
          <cell r="H157" t="str">
            <v>CampaignWeb</v>
          </cell>
        </row>
        <row r="158">
          <cell r="H158" t="str">
            <v>CampaignDev</v>
          </cell>
        </row>
        <row r="159">
          <cell r="H159" t="str">
            <v>CampaignDB</v>
          </cell>
        </row>
        <row r="160">
          <cell r="H160" t="str">
            <v>skcorpehrda1</v>
          </cell>
        </row>
        <row r="161">
          <cell r="H161" t="str">
            <v>csbsftp2</v>
          </cell>
        </row>
        <row r="162">
          <cell r="H162" t="str">
            <v>skccslaew</v>
          </cell>
        </row>
        <row r="163">
          <cell r="H163" t="str">
            <v>tees17</v>
          </cell>
        </row>
        <row r="164">
          <cell r="H164" t="str">
            <v>skgedw</v>
          </cell>
        </row>
        <row r="165">
          <cell r="H165" t="str">
            <v>skcorpbwd</v>
          </cell>
        </row>
        <row r="166">
          <cell r="H166" t="str">
            <v>skcorperpda1</v>
          </cell>
        </row>
        <row r="167">
          <cell r="H167" t="str">
            <v>skeserpd</v>
          </cell>
        </row>
        <row r="168">
          <cell r="H168" t="str">
            <v>TTlChat</v>
          </cell>
        </row>
        <row r="169">
          <cell r="H169" t="str">
            <v>white</v>
          </cell>
        </row>
        <row r="170">
          <cell r="H170" t="str">
            <v>web</v>
          </cell>
        </row>
        <row r="171">
          <cell r="H171" t="str">
            <v>mail</v>
          </cell>
        </row>
        <row r="172">
          <cell r="H172" t="str">
            <v>sky</v>
          </cell>
        </row>
        <row r="173">
          <cell r="H173" t="str">
            <v>dbm04</v>
          </cell>
        </row>
        <row r="174">
          <cell r="H174" t="str">
            <v>lette</v>
          </cell>
        </row>
        <row r="175">
          <cell r="H175" t="str">
            <v>ivory</v>
          </cell>
        </row>
        <row r="176">
          <cell r="H176" t="str">
            <v>websearch</v>
          </cell>
        </row>
        <row r="177">
          <cell r="H177" t="str">
            <v>DTODCS1</v>
          </cell>
        </row>
        <row r="178">
          <cell r="H178" t="str">
            <v>DTODCS2</v>
          </cell>
        </row>
        <row r="179">
          <cell r="H179" t="str">
            <v>skgmail</v>
          </cell>
        </row>
        <row r="180">
          <cell r="H180" t="str">
            <v>shoptest</v>
          </cell>
        </row>
        <row r="181">
          <cell r="H181" t="str">
            <v>skcweb</v>
          </cell>
        </row>
        <row r="182">
          <cell r="H182" t="str">
            <v>cyber</v>
          </cell>
        </row>
        <row r="183">
          <cell r="H183" t="str">
            <v>ZEUS</v>
          </cell>
        </row>
        <row r="184">
          <cell r="H184" t="str">
            <v>image</v>
          </cell>
        </row>
        <row r="185">
          <cell r="H185" t="str">
            <v>wcms</v>
          </cell>
        </row>
        <row r="186">
          <cell r="H186" t="str">
            <v>skesweb1</v>
          </cell>
        </row>
        <row r="187">
          <cell r="H187" t="str">
            <v>WebMail1</v>
          </cell>
        </row>
        <row r="188">
          <cell r="H188" t="str">
            <v>WMWas1</v>
          </cell>
        </row>
        <row r="189">
          <cell r="H189" t="str">
            <v>WMWas2</v>
          </cell>
        </row>
        <row r="190">
          <cell r="H190" t="str">
            <v>WMDB</v>
          </cell>
        </row>
        <row r="191">
          <cell r="H191" t="str">
            <v>eMail1</v>
          </cell>
        </row>
        <row r="192">
          <cell r="H192" t="str">
            <v>eMailTrc1</v>
          </cell>
        </row>
        <row r="193">
          <cell r="H193" t="str">
            <v>TTLWeb1</v>
          </cell>
        </row>
        <row r="194">
          <cell r="H194" t="str">
            <v>TTLWeb2</v>
          </cell>
        </row>
        <row r="195">
          <cell r="H195" t="str">
            <v>TTLCoDB</v>
          </cell>
        </row>
        <row r="196">
          <cell r="H196" t="str">
            <v>TTLCLUBDB</v>
          </cell>
        </row>
        <row r="197">
          <cell r="H197" t="str">
            <v>TTLUsDB</v>
          </cell>
        </row>
        <row r="198">
          <cell r="H198" t="str">
            <v>TTLBK</v>
          </cell>
        </row>
        <row r="199">
          <cell r="H199" t="str">
            <v>WebBK</v>
          </cell>
        </row>
        <row r="200">
          <cell r="H200" t="str">
            <v>dtodimage</v>
          </cell>
        </row>
        <row r="201">
          <cell r="H201" t="str">
            <v>white</v>
          </cell>
        </row>
        <row r="202">
          <cell r="H202" t="str">
            <v>zeus</v>
          </cell>
        </row>
        <row r="203">
          <cell r="H203" t="str">
            <v>black</v>
          </cell>
        </row>
        <row r="204">
          <cell r="H204" t="str">
            <v>red</v>
          </cell>
        </row>
        <row r="205">
          <cell r="H205" t="str">
            <v>TTLClubWAS</v>
          </cell>
        </row>
        <row r="206">
          <cell r="H206" t="str">
            <v>PointWAS1</v>
          </cell>
        </row>
        <row r="207">
          <cell r="H207" t="str">
            <v>PointWAS2</v>
          </cell>
        </row>
        <row r="208">
          <cell r="H208" t="str">
            <v>CMcache1</v>
          </cell>
        </row>
        <row r="209">
          <cell r="H209" t="str">
            <v>CMcache2</v>
          </cell>
        </row>
        <row r="210">
          <cell r="H210" t="str">
            <v>CMcache3</v>
          </cell>
        </row>
        <row r="211">
          <cell r="H211" t="str">
            <v>CMcache4</v>
          </cell>
        </row>
        <row r="212">
          <cell r="H212" t="str">
            <v>CMcache5</v>
          </cell>
        </row>
        <row r="213">
          <cell r="H213" t="str">
            <v>CMweb1</v>
          </cell>
        </row>
        <row r="214">
          <cell r="H214" t="str">
            <v>CMweb2</v>
          </cell>
        </row>
        <row r="215">
          <cell r="H215" t="str">
            <v>CMweb3</v>
          </cell>
        </row>
        <row r="216">
          <cell r="H216" t="str">
            <v>CMweb4</v>
          </cell>
        </row>
        <row r="217">
          <cell r="H217" t="str">
            <v>CMweb5</v>
          </cell>
        </row>
        <row r="218">
          <cell r="H218" t="str">
            <v>CMweb6</v>
          </cell>
        </row>
        <row r="219">
          <cell r="H219" t="str">
            <v>misweb</v>
          </cell>
        </row>
        <row r="220">
          <cell r="H220" t="str">
            <v>eMail3</v>
          </cell>
        </row>
        <row r="221">
          <cell r="H221" t="str">
            <v>utoweb</v>
          </cell>
        </row>
        <row r="222">
          <cell r="H222" t="str">
            <v>TTLDev</v>
          </cell>
        </row>
        <row r="223">
          <cell r="H223" t="str">
            <v>CMcache6</v>
          </cell>
        </row>
        <row r="224">
          <cell r="H224" t="str">
            <v>CMcache7</v>
          </cell>
        </row>
      </sheetData>
      <sheetData sheetId="5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비고</v>
          </cell>
          <cell r="F1" t="str">
            <v>Function</v>
          </cell>
          <cell r="G1" t="str">
            <v>Sub-Function</v>
          </cell>
          <cell r="H1" t="str">
            <v>Platform</v>
          </cell>
          <cell r="I1" t="str">
            <v>Location</v>
          </cell>
          <cell r="J1" t="str">
            <v>적용업무1</v>
          </cell>
        </row>
        <row r="2">
          <cell r="E2" t="str">
            <v>Application명</v>
          </cell>
        </row>
        <row r="3">
          <cell r="A3" t="str">
            <v>ERP_PROD</v>
          </cell>
          <cell r="B3" t="str">
            <v>UX-CPU-HP-00017</v>
          </cell>
          <cell r="C3" t="str">
            <v>N</v>
          </cell>
          <cell r="E3" t="str">
            <v>SAP R/3 ERP(MM/SD/PP/PM/FI/CO/HR/BC)</v>
          </cell>
          <cell r="I3" t="str">
            <v>SKT보라매빌딩</v>
          </cell>
          <cell r="J3" t="str">
            <v>ERP DB</v>
          </cell>
        </row>
        <row r="4">
          <cell r="A4" t="str">
            <v>ERP_DEV</v>
          </cell>
          <cell r="B4" t="str">
            <v>UX-CPU-HP-00021</v>
          </cell>
          <cell r="C4" t="str">
            <v>N</v>
          </cell>
          <cell r="E4" t="str">
            <v>SAP R/3 ERP(MM/SD/PP/PM/FI/CO/HR/BC)</v>
          </cell>
          <cell r="I4" t="str">
            <v>SKT보라매빌딩</v>
          </cell>
          <cell r="J4" t="str">
            <v>ER) Dev (omniback)</v>
          </cell>
        </row>
        <row r="5">
          <cell r="A5" t="str">
            <v>KMSEOUL</v>
          </cell>
          <cell r="B5" t="str">
            <v>NT-CPU-COMPAQ-00240</v>
          </cell>
          <cell r="C5" t="str">
            <v>N</v>
          </cell>
          <cell r="E5" t="str">
            <v>Lotus Notes Application Server 5.0.7</v>
          </cell>
          <cell r="I5" t="str">
            <v>SK증권빌딩</v>
          </cell>
          <cell r="J5" t="str">
            <v>NOTES SERVER(서울)</v>
          </cell>
        </row>
        <row r="6">
          <cell r="A6" t="str">
            <v>KMULSAN</v>
          </cell>
          <cell r="B6" t="str">
            <v>NT-CPU-COMPAQ-00244</v>
          </cell>
          <cell r="C6" t="str">
            <v>N</v>
          </cell>
          <cell r="E6" t="str">
            <v>Lotus Notes Application Server 5.0.7</v>
          </cell>
          <cell r="I6" t="str">
            <v>에버텍</v>
          </cell>
          <cell r="J6" t="str">
            <v>NOTES SERVER(울산)</v>
          </cell>
        </row>
        <row r="7">
          <cell r="A7" t="str">
            <v>s1016613</v>
          </cell>
          <cell r="B7" t="str">
            <v>UX-CPU-IBM-00205</v>
          </cell>
          <cell r="C7" t="str">
            <v>N</v>
          </cell>
          <cell r="E7" t="str">
            <v>BPCS</v>
          </cell>
          <cell r="I7" t="str">
            <v>대덕CDC</v>
          </cell>
          <cell r="J7" t="str">
            <v>MIS</v>
          </cell>
        </row>
        <row r="8">
          <cell r="A8" t="str">
            <v>s1016613</v>
          </cell>
          <cell r="B8" t="str">
            <v>UX-CPU-IBM-00205</v>
          </cell>
          <cell r="C8" t="str">
            <v>N</v>
          </cell>
          <cell r="I8" t="str">
            <v>대덕CDC</v>
          </cell>
          <cell r="J8" t="str">
            <v>MIS</v>
          </cell>
        </row>
        <row r="9">
          <cell r="A9" t="str">
            <v>skevt-fw</v>
          </cell>
          <cell r="B9" t="str">
            <v>UX-CPU-SUN-00129</v>
          </cell>
          <cell r="C9" t="str">
            <v>N</v>
          </cell>
          <cell r="I9" t="str">
            <v>SK증권빌딩</v>
          </cell>
          <cell r="J9" t="str">
            <v>에버텍 FW 서버</v>
          </cell>
        </row>
        <row r="10">
          <cell r="A10" t="str">
            <v>YKOCUS</v>
          </cell>
          <cell r="B10" t="str">
            <v>NT-CPU-기타-00040</v>
          </cell>
          <cell r="C10" t="str">
            <v>N</v>
          </cell>
          <cell r="I10" t="str">
            <v>에버텍</v>
          </cell>
          <cell r="J10" t="str">
            <v>FILE SERVER</v>
          </cell>
        </row>
        <row r="11">
          <cell r="A11" t="str">
            <v>YKOCPRT</v>
          </cell>
          <cell r="B11" t="str">
            <v>NT-CPU-기타-00041</v>
          </cell>
          <cell r="C11" t="str">
            <v>N</v>
          </cell>
          <cell r="I11" t="str">
            <v>에버텍</v>
          </cell>
          <cell r="J11" t="str">
            <v>PRINTER SERVER</v>
          </cell>
        </row>
        <row r="12">
          <cell r="A12" t="str">
            <v>SKOC_TSM</v>
          </cell>
          <cell r="B12" t="str">
            <v>NT-CPU-COMPAQ-00241</v>
          </cell>
          <cell r="C12" t="str">
            <v>N</v>
          </cell>
          <cell r="I12" t="str">
            <v>SK증권빌딩</v>
          </cell>
          <cell r="J12" t="str">
            <v>TCO SERVER</v>
          </cell>
        </row>
        <row r="13">
          <cell r="A13" t="str">
            <v>PERF_EV</v>
          </cell>
          <cell r="B13" t="str">
            <v>NT-CPU-COMPAQ-00243</v>
          </cell>
          <cell r="C13" t="str">
            <v>N</v>
          </cell>
          <cell r="I13" t="str">
            <v>SK증권빌딩</v>
          </cell>
          <cell r="J13" t="str">
            <v>PERFORMANCE CHECK</v>
          </cell>
        </row>
        <row r="14">
          <cell r="A14" t="str">
            <v>PRIDEV</v>
          </cell>
          <cell r="B14" t="str">
            <v>NT-CPU-COMPAQ-00242</v>
          </cell>
          <cell r="C14" t="str">
            <v>N</v>
          </cell>
          <cell r="I14" t="str">
            <v>SK증권빌딩</v>
          </cell>
          <cell r="J14" t="str">
            <v>REQUEST</v>
          </cell>
        </row>
        <row r="15">
          <cell r="A15" t="str">
            <v>SKEVTWEB</v>
          </cell>
          <cell r="B15" t="str">
            <v>NT-CPU-COMPAQ-00245</v>
          </cell>
          <cell r="C15" t="str">
            <v>N</v>
          </cell>
          <cell r="I15" t="str">
            <v>SK증권빌딩</v>
          </cell>
          <cell r="J15" t="str">
            <v>DNS 및 WEB Server</v>
          </cell>
        </row>
        <row r="16">
          <cell r="A16" t="str">
            <v>SKEVT_EDM</v>
          </cell>
          <cell r="B16" t="str">
            <v>NT-CPU-COMPAQ-00246</v>
          </cell>
          <cell r="C16" t="str">
            <v>N</v>
          </cell>
          <cell r="I16" t="str">
            <v>SK증권빌딩</v>
          </cell>
          <cell r="J16" t="str">
            <v>도면 관리</v>
          </cell>
        </row>
        <row r="17">
          <cell r="A17" t="str">
            <v>YKOCSRV</v>
          </cell>
          <cell r="B17" t="str">
            <v>NT-CPU-기타-00039</v>
          </cell>
          <cell r="C17" t="str">
            <v>N</v>
          </cell>
          <cell r="I17" t="str">
            <v>SK증권빌딩</v>
          </cell>
          <cell r="J17" t="str">
            <v>Domain Server</v>
          </cell>
        </row>
        <row r="18">
          <cell r="A18" t="str">
            <v>SKEVT-SDMS</v>
          </cell>
          <cell r="B18" t="str">
            <v>NT-CPU-COMPAQ-10002</v>
          </cell>
          <cell r="C18" t="str">
            <v>N</v>
          </cell>
          <cell r="I18" t="str">
            <v>에버텍</v>
          </cell>
          <cell r="J18" t="str">
            <v>SKC화학사업부문 연구소 DB관리 System도입</v>
          </cell>
        </row>
      </sheetData>
      <sheetData sheetId="6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비고</v>
          </cell>
          <cell r="F1" t="str">
            <v>Function</v>
          </cell>
          <cell r="G1" t="str">
            <v>Sub-Function</v>
          </cell>
          <cell r="H1" t="str">
            <v>Platform</v>
          </cell>
          <cell r="I1" t="str">
            <v>Location</v>
          </cell>
          <cell r="J1" t="str">
            <v>적용업무1</v>
          </cell>
        </row>
        <row r="2">
          <cell r="E2" t="str">
            <v>Application명</v>
          </cell>
        </row>
        <row r="3">
          <cell r="A3" t="str">
            <v>RC3361</v>
          </cell>
          <cell r="B3" t="str">
            <v>UX-CPU-기타-00037</v>
          </cell>
          <cell r="C3" t="str">
            <v>N</v>
          </cell>
          <cell r="E3" t="str">
            <v>중합 Interface</v>
          </cell>
          <cell r="I3" t="str">
            <v>SKC공장</v>
          </cell>
          <cell r="J3" t="str">
            <v>중합 Interface</v>
          </cell>
        </row>
        <row r="4">
          <cell r="A4" t="str">
            <v>SKCHP1</v>
          </cell>
          <cell r="B4" t="str">
            <v>UX-CPU-HP-00034</v>
          </cell>
          <cell r="C4" t="str">
            <v>N</v>
          </cell>
          <cell r="E4" t="str">
            <v>인사,유통</v>
          </cell>
          <cell r="I4" t="str">
            <v>SKC공장</v>
          </cell>
          <cell r="J4" t="str">
            <v>인사,유통</v>
          </cell>
        </row>
        <row r="5">
          <cell r="A5" t="str">
            <v>SKCCH1</v>
          </cell>
          <cell r="B5" t="str">
            <v>UX-CPU-HP-00035</v>
          </cell>
          <cell r="C5" t="str">
            <v>N</v>
          </cell>
          <cell r="E5" t="str">
            <v>천안 생산 FEP</v>
          </cell>
          <cell r="I5" t="str">
            <v>SKC공장</v>
          </cell>
          <cell r="J5" t="str">
            <v>천안 생산 FEP</v>
          </cell>
        </row>
        <row r="6">
          <cell r="A6" t="str">
            <v>SKCHP2</v>
          </cell>
          <cell r="B6" t="str">
            <v>UX-CPU-HP-00036</v>
          </cell>
          <cell r="C6" t="str">
            <v>N</v>
          </cell>
          <cell r="E6" t="str">
            <v>생산</v>
          </cell>
          <cell r="I6" t="str">
            <v>SKC공장</v>
          </cell>
          <cell r="J6" t="str">
            <v>생산</v>
          </cell>
        </row>
        <row r="7">
          <cell r="A7" t="str">
            <v>mes_sw</v>
          </cell>
          <cell r="B7" t="str">
            <v>UX-CPU-HP-00076</v>
          </cell>
          <cell r="C7" t="str">
            <v>N</v>
          </cell>
          <cell r="E7" t="str">
            <v>FILM 생산진행</v>
          </cell>
          <cell r="I7" t="str">
            <v>SKC공장</v>
          </cell>
          <cell r="J7" t="str">
            <v>FILM 생산진행</v>
          </cell>
        </row>
        <row r="8">
          <cell r="A8" t="str">
            <v>erp_dev</v>
          </cell>
          <cell r="B8" t="str">
            <v>UX-CPU-HP-00021</v>
          </cell>
          <cell r="C8" t="str">
            <v>N</v>
          </cell>
          <cell r="E8" t="str">
            <v>SKC ERP 개발서버</v>
          </cell>
          <cell r="I8" t="str">
            <v>SKT보라매빌딩</v>
          </cell>
          <cell r="J8" t="str">
            <v>ER) Dev (omniback)</v>
          </cell>
        </row>
        <row r="9">
          <cell r="A9" t="str">
            <v>erp_main</v>
          </cell>
          <cell r="B9" t="str">
            <v>UX-CPU-HP-00098</v>
          </cell>
          <cell r="C9" t="str">
            <v>N</v>
          </cell>
          <cell r="E9" t="str">
            <v>SKC ERP DB/CI</v>
          </cell>
          <cell r="I9" t="str">
            <v>SKC공장</v>
          </cell>
          <cell r="J9" t="str">
            <v>SKC ERP DB/CI</v>
          </cell>
        </row>
        <row r="10">
          <cell r="A10" t="str">
            <v>erp_ap1</v>
          </cell>
          <cell r="B10" t="str">
            <v>UX-CPU-HP-00018</v>
          </cell>
          <cell r="C10" t="str">
            <v>N</v>
          </cell>
          <cell r="E10" t="str">
            <v>SKC ERP AP서버</v>
          </cell>
          <cell r="I10" t="str">
            <v>SKT보라매빌딩</v>
          </cell>
          <cell r="J10" t="str">
            <v>ERP AP1</v>
          </cell>
        </row>
        <row r="11">
          <cell r="A11" t="str">
            <v>mes_ca</v>
          </cell>
          <cell r="B11" t="str">
            <v>UX-CPU-HP-00109</v>
          </cell>
          <cell r="C11" t="str">
            <v>N</v>
          </cell>
          <cell r="E11" t="str">
            <v>MEDIA 생산진행</v>
          </cell>
          <cell r="I11" t="str">
            <v>SKC공장</v>
          </cell>
          <cell r="J11" t="str">
            <v>MEDIA 생산진행</v>
          </cell>
        </row>
        <row r="12">
          <cell r="A12" t="str">
            <v>skc2</v>
          </cell>
          <cell r="B12" t="str">
            <v>UX-CPU-SUN-00018</v>
          </cell>
          <cell r="C12" t="str">
            <v>N</v>
          </cell>
          <cell r="E12" t="str">
            <v>천안창고관리</v>
          </cell>
          <cell r="I12" t="str">
            <v>SKC공장</v>
          </cell>
          <cell r="J12" t="str">
            <v>천안창고관리</v>
          </cell>
        </row>
        <row r="13">
          <cell r="A13" t="str">
            <v>skc1</v>
          </cell>
          <cell r="B13" t="str">
            <v>UX-CPU-SUN-00019</v>
          </cell>
          <cell r="C13" t="str">
            <v>N</v>
          </cell>
          <cell r="E13" t="str">
            <v>수원창고관리</v>
          </cell>
          <cell r="I13" t="str">
            <v>SKC공장</v>
          </cell>
          <cell r="J13" t="str">
            <v>수원창고관리</v>
          </cell>
        </row>
        <row r="14">
          <cell r="A14" t="str">
            <v>skcweb</v>
          </cell>
          <cell r="B14" t="str">
            <v>UX-CPU-SUN-00046</v>
          </cell>
          <cell r="C14" t="str">
            <v>N</v>
          </cell>
          <cell r="E14" t="str">
            <v>SKC WEB서버</v>
          </cell>
          <cell r="I14" t="str">
            <v>SKC공장</v>
          </cell>
          <cell r="J14" t="str">
            <v>SKC WEB서버</v>
          </cell>
        </row>
        <row r="15">
          <cell r="A15" t="str">
            <v>skcfw</v>
          </cell>
          <cell r="B15" t="str">
            <v>UX-CPU-SUN-00047</v>
          </cell>
          <cell r="C15" t="str">
            <v>N</v>
          </cell>
          <cell r="E15" t="str">
            <v>SKC Firewall</v>
          </cell>
          <cell r="I15" t="str">
            <v>SKC공장</v>
          </cell>
          <cell r="J15" t="str">
            <v>SKC Firewall</v>
          </cell>
        </row>
        <row r="16">
          <cell r="B16" t="str">
            <v>UX-CPU-ALPHA-00049</v>
          </cell>
          <cell r="C16" t="str">
            <v>N</v>
          </cell>
        </row>
        <row r="17">
          <cell r="B17" t="str">
            <v>UX-CPU-기타-00059</v>
          </cell>
          <cell r="C17" t="str">
            <v>N</v>
          </cell>
        </row>
        <row r="18">
          <cell r="B18" t="str">
            <v>UX-CPU-SUN-00191</v>
          </cell>
          <cell r="C18" t="str">
            <v>N</v>
          </cell>
        </row>
        <row r="19">
          <cell r="B19" t="str">
            <v>UX-CPU-SUN-00192</v>
          </cell>
          <cell r="C19" t="str">
            <v>N</v>
          </cell>
        </row>
        <row r="20">
          <cell r="B20" t="str">
            <v>UX-CPU-SUN-00193</v>
          </cell>
          <cell r="C20" t="str">
            <v>N</v>
          </cell>
        </row>
        <row r="21">
          <cell r="B21" t="str">
            <v>UX-CPU-SUN-00194</v>
          </cell>
          <cell r="C21" t="str">
            <v>N</v>
          </cell>
        </row>
        <row r="22">
          <cell r="A22" t="str">
            <v>SKCIMIS</v>
          </cell>
          <cell r="B22" t="str">
            <v>NT-CPU-기타-00042</v>
          </cell>
          <cell r="C22" t="str">
            <v>N</v>
          </cell>
          <cell r="I22" t="str">
            <v>SKC공장</v>
          </cell>
          <cell r="J22" t="str">
            <v>ORACLE</v>
          </cell>
        </row>
        <row r="23">
          <cell r="A23" t="str">
            <v>SKC_TSM</v>
          </cell>
          <cell r="B23" t="str">
            <v>NT-CPU-COMPAQ-00247</v>
          </cell>
          <cell r="C23" t="str">
            <v>N</v>
          </cell>
          <cell r="I23" t="str">
            <v>SKC공장</v>
          </cell>
          <cell r="J23" t="str">
            <v>TCO! STREAM</v>
          </cell>
        </row>
        <row r="24">
          <cell r="A24" t="str">
            <v>SKC_TSS02</v>
          </cell>
          <cell r="B24" t="str">
            <v>NT-CPU-COMPAQ-00252</v>
          </cell>
          <cell r="C24" t="str">
            <v>N</v>
          </cell>
          <cell r="I24" t="str">
            <v>SKC공장</v>
          </cell>
          <cell r="J24" t="str">
            <v>TCO! STREAM</v>
          </cell>
        </row>
        <row r="25">
          <cell r="A25" t="str">
            <v>SKC_TSS01</v>
          </cell>
          <cell r="B25" t="str">
            <v>NT-CPU-COMPAQ-00253</v>
          </cell>
          <cell r="C25" t="str">
            <v>N</v>
          </cell>
          <cell r="I25" t="str">
            <v>SKC공장</v>
          </cell>
          <cell r="J25" t="str">
            <v>TCO! STREAM</v>
          </cell>
        </row>
        <row r="26">
          <cell r="A26" t="str">
            <v>PERF_SKC</v>
          </cell>
          <cell r="B26" t="str">
            <v>NT-CPU-COMPAQ-00251</v>
          </cell>
          <cell r="C26" t="str">
            <v>N</v>
          </cell>
          <cell r="I26" t="str">
            <v>SKC공장</v>
          </cell>
          <cell r="J26" t="str">
            <v>PERFORMANCE CHECK</v>
          </cell>
        </row>
        <row r="27">
          <cell r="A27" t="str">
            <v>PRIDSKC</v>
          </cell>
          <cell r="B27" t="str">
            <v>NT-CPU-COMPAQ-00250</v>
          </cell>
          <cell r="C27" t="str">
            <v>N</v>
          </cell>
          <cell r="I27" t="str">
            <v>SKC공장</v>
          </cell>
          <cell r="J27" t="str">
            <v>REQUEST</v>
          </cell>
        </row>
        <row r="28">
          <cell r="A28" t="str">
            <v>CH001</v>
          </cell>
          <cell r="B28" t="str">
            <v>NT-CPU-기타-00044</v>
          </cell>
          <cell r="C28" t="str">
            <v>N</v>
          </cell>
          <cell r="I28" t="str">
            <v>SKC공장</v>
          </cell>
          <cell r="J28" t="str">
            <v>FILE SERVER</v>
          </cell>
        </row>
        <row r="29">
          <cell r="A29" t="str">
            <v>SE001</v>
          </cell>
          <cell r="B29" t="str">
            <v>NT-CPU-COMPAQ-00248</v>
          </cell>
          <cell r="C29" t="str">
            <v>N</v>
          </cell>
          <cell r="I29" t="str">
            <v>SKC</v>
          </cell>
          <cell r="J29" t="str">
            <v>파일서버</v>
          </cell>
        </row>
        <row r="30">
          <cell r="A30" t="str">
            <v>SKCGW02</v>
          </cell>
          <cell r="B30" t="str">
            <v>NT-CPU-COMPAQ-00256</v>
          </cell>
          <cell r="C30" t="str">
            <v>N</v>
          </cell>
          <cell r="I30" t="str">
            <v>SKC공장</v>
          </cell>
          <cell r="J30" t="str">
            <v>Group ware</v>
          </cell>
        </row>
        <row r="31">
          <cell r="A31" t="str">
            <v>SKCGW</v>
          </cell>
          <cell r="B31" t="str">
            <v>NT-CPU-COMPAQ-00254</v>
          </cell>
          <cell r="C31" t="str">
            <v>N</v>
          </cell>
          <cell r="I31" t="str">
            <v>SKC공장</v>
          </cell>
          <cell r="J31" t="str">
            <v>NOTES SERVER</v>
          </cell>
        </row>
        <row r="32">
          <cell r="A32" t="str">
            <v>SU001</v>
          </cell>
          <cell r="B32" t="str">
            <v>NT-CPU-COMPAQ-10010</v>
          </cell>
          <cell r="C32" t="str">
            <v>N</v>
          </cell>
          <cell r="I32" t="str">
            <v>SKC공장</v>
          </cell>
          <cell r="J32" t="str">
            <v>SKC File Server(수원) 및 DNS Server 교체(H/W)</v>
          </cell>
        </row>
      </sheetData>
      <sheetData sheetId="7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Function</v>
          </cell>
          <cell r="F1" t="str">
            <v>서버명</v>
          </cell>
          <cell r="G1" t="str">
            <v>Location</v>
          </cell>
          <cell r="H1" t="str">
            <v>적용업무1</v>
          </cell>
        </row>
        <row r="3">
          <cell r="A3" t="str">
            <v>NEO</v>
          </cell>
          <cell r="C3" t="str">
            <v>Y</v>
          </cell>
          <cell r="D3" t="str">
            <v>A</v>
          </cell>
          <cell r="E3" t="str">
            <v>벌크선영업시스템</v>
          </cell>
          <cell r="F3" t="str">
            <v>NEO</v>
          </cell>
          <cell r="G3" t="str">
            <v>?</v>
          </cell>
        </row>
        <row r="4">
          <cell r="A4" t="str">
            <v>NEO</v>
          </cell>
          <cell r="C4" t="str">
            <v>Y</v>
          </cell>
          <cell r="D4" t="str">
            <v>A</v>
          </cell>
          <cell r="E4" t="str">
            <v>탱커영업시스템</v>
          </cell>
          <cell r="F4" t="str">
            <v>NEO</v>
          </cell>
          <cell r="G4" t="str">
            <v>?</v>
          </cell>
        </row>
        <row r="5">
          <cell r="A5" t="str">
            <v>NEO</v>
          </cell>
          <cell r="C5" t="str">
            <v>Y</v>
          </cell>
          <cell r="D5" t="str">
            <v>A</v>
          </cell>
          <cell r="E5" t="str">
            <v>벙커링영업시스템</v>
          </cell>
          <cell r="F5" t="str">
            <v>NEO</v>
          </cell>
          <cell r="G5" t="str">
            <v>?</v>
          </cell>
        </row>
        <row r="6">
          <cell r="A6" t="str">
            <v>SKSHIP2</v>
          </cell>
          <cell r="B6" t="str">
            <v>NT-CPU-COMPAQ-00661</v>
          </cell>
          <cell r="C6" t="str">
            <v>Y</v>
          </cell>
          <cell r="D6" t="str">
            <v>B</v>
          </cell>
          <cell r="E6" t="str">
            <v>Semi-Liner시스템</v>
          </cell>
          <cell r="F6" t="str">
            <v>SKSHIP2</v>
          </cell>
          <cell r="G6" t="str">
            <v>SK남산빌딩</v>
          </cell>
          <cell r="H6" t="str">
            <v>Telex DB Server</v>
          </cell>
        </row>
        <row r="7">
          <cell r="A7" t="str">
            <v>NEO</v>
          </cell>
          <cell r="C7" t="str">
            <v>Y</v>
          </cell>
          <cell r="D7" t="str">
            <v>C</v>
          </cell>
          <cell r="E7" t="str">
            <v>보험법무시스템</v>
          </cell>
          <cell r="F7" t="str">
            <v>NEO</v>
          </cell>
          <cell r="G7" t="str">
            <v>?</v>
          </cell>
        </row>
        <row r="8">
          <cell r="A8" t="str">
            <v>NEO</v>
          </cell>
          <cell r="C8" t="str">
            <v>Y</v>
          </cell>
          <cell r="D8" t="str">
            <v>A</v>
          </cell>
          <cell r="E8" t="str">
            <v>회계/재무시스템</v>
          </cell>
          <cell r="F8" t="str">
            <v>NEO</v>
          </cell>
          <cell r="G8" t="str">
            <v>?</v>
          </cell>
        </row>
        <row r="9">
          <cell r="A9" t="str">
            <v>NEO</v>
          </cell>
          <cell r="C9" t="str">
            <v>Y</v>
          </cell>
          <cell r="D9" t="str">
            <v>B</v>
          </cell>
          <cell r="E9" t="str">
            <v>인사/급여시스템</v>
          </cell>
          <cell r="F9" t="str">
            <v>NEO</v>
          </cell>
          <cell r="G9" t="str">
            <v>?</v>
          </cell>
        </row>
        <row r="10">
          <cell r="A10" t="str">
            <v>NEO</v>
          </cell>
          <cell r="C10" t="str">
            <v>Y</v>
          </cell>
          <cell r="D10" t="str">
            <v>C</v>
          </cell>
          <cell r="E10" t="str">
            <v>해사시스템</v>
          </cell>
          <cell r="F10" t="str">
            <v>NEO</v>
          </cell>
          <cell r="G10" t="str">
            <v>?</v>
          </cell>
        </row>
        <row r="11">
          <cell r="A11" t="str">
            <v>NEO</v>
          </cell>
          <cell r="C11" t="str">
            <v>Y</v>
          </cell>
          <cell r="D11" t="str">
            <v>A</v>
          </cell>
          <cell r="E11" t="str">
            <v>자재시스템</v>
          </cell>
          <cell r="F11" t="str">
            <v>NEO</v>
          </cell>
          <cell r="G11" t="str">
            <v>?</v>
          </cell>
        </row>
        <row r="12">
          <cell r="A12" t="str">
            <v>SKSHIP2</v>
          </cell>
          <cell r="B12" t="str">
            <v>NT-CPU-COMPAQ-00661</v>
          </cell>
          <cell r="C12" t="str">
            <v>Y</v>
          </cell>
          <cell r="D12" t="str">
            <v>A</v>
          </cell>
          <cell r="E12" t="str">
            <v>텔렉스시스템</v>
          </cell>
          <cell r="F12" t="str">
            <v>SKSHIP2</v>
          </cell>
          <cell r="G12" t="str">
            <v>SK남산빌딩</v>
          </cell>
          <cell r="H12" t="str">
            <v>Telex DB Server</v>
          </cell>
        </row>
        <row r="13">
          <cell r="A13" t="str">
            <v>NEO</v>
          </cell>
          <cell r="C13" t="str">
            <v>Y</v>
          </cell>
          <cell r="D13" t="str">
            <v>D</v>
          </cell>
          <cell r="E13" t="str">
            <v>출장관리시스템</v>
          </cell>
          <cell r="F13" t="str">
            <v>NEO</v>
          </cell>
          <cell r="G13" t="str">
            <v>?</v>
          </cell>
        </row>
        <row r="14">
          <cell r="A14" t="str">
            <v>SHIPNOTES</v>
          </cell>
          <cell r="C14" t="str">
            <v>Y</v>
          </cell>
          <cell r="D14" t="str">
            <v>A</v>
          </cell>
          <cell r="E14" t="str">
            <v>그룹웨어(Notes)</v>
          </cell>
          <cell r="F14" t="str">
            <v>SHIPNOTES</v>
          </cell>
          <cell r="G14" t="str">
            <v>?</v>
          </cell>
        </row>
        <row r="15">
          <cell r="A15" t="str">
            <v>SUMMIT</v>
          </cell>
          <cell r="C15" t="str">
            <v>Y</v>
          </cell>
          <cell r="D15" t="str">
            <v>C</v>
          </cell>
          <cell r="E15" t="str">
            <v>Homepage관리</v>
          </cell>
          <cell r="F15" t="str">
            <v>SUMMIT</v>
          </cell>
          <cell r="G15" t="str">
            <v>?</v>
          </cell>
          <cell r="H15" t="str">
            <v>Homepage관리</v>
          </cell>
        </row>
        <row r="16">
          <cell r="A16" t="str">
            <v>skship_fw</v>
          </cell>
          <cell r="B16" t="str">
            <v>UX-CPU-SUN-00027</v>
          </cell>
          <cell r="C16" t="str">
            <v>N</v>
          </cell>
          <cell r="D16" t="str">
            <v>비대상</v>
          </cell>
          <cell r="F16" t="str">
            <v>skship_fw</v>
          </cell>
          <cell r="G16" t="str">
            <v>SK남산빌딩</v>
          </cell>
          <cell r="H16" t="str">
            <v>F/W</v>
          </cell>
        </row>
        <row r="17">
          <cell r="A17" t="str">
            <v>FORTUNE</v>
          </cell>
          <cell r="B17" t="str">
            <v>NT-CPU-HP-00018</v>
          </cell>
          <cell r="C17" t="str">
            <v>N</v>
          </cell>
          <cell r="D17" t="str">
            <v>비대상</v>
          </cell>
          <cell r="F17" t="str">
            <v>FORTUNE</v>
          </cell>
          <cell r="G17" t="str">
            <v>SK남산빌딩</v>
          </cell>
          <cell r="H17" t="str">
            <v>Terminal서버</v>
          </cell>
        </row>
        <row r="18">
          <cell r="A18" t="str">
            <v>FAX</v>
          </cell>
          <cell r="B18" t="str">
            <v>NT-CPU-기타-00238</v>
          </cell>
          <cell r="C18" t="str">
            <v>N</v>
          </cell>
          <cell r="D18" t="str">
            <v>비대상</v>
          </cell>
          <cell r="F18" t="str">
            <v>FAX</v>
          </cell>
          <cell r="G18" t="str">
            <v>SK남산빌딩</v>
          </cell>
          <cell r="H18" t="str">
            <v>Notes Fax Server</v>
          </cell>
        </row>
        <row r="19">
          <cell r="A19" t="str">
            <v>Backupserv</v>
          </cell>
          <cell r="B19" t="str">
            <v>NT-CPU-기타-00239</v>
          </cell>
          <cell r="C19" t="str">
            <v>N</v>
          </cell>
          <cell r="D19" t="str">
            <v>비대상</v>
          </cell>
          <cell r="F19" t="str">
            <v>Backupserv</v>
          </cell>
          <cell r="G19" t="str">
            <v>SK남산빌딩</v>
          </cell>
          <cell r="H19" t="str">
            <v>RAS Server</v>
          </cell>
        </row>
        <row r="20">
          <cell r="A20" t="str">
            <v>Faxserv_S1</v>
          </cell>
          <cell r="B20" t="str">
            <v>NT-CPU-기타-00240</v>
          </cell>
          <cell r="C20" t="str">
            <v>N</v>
          </cell>
          <cell r="D20" t="str">
            <v>비대상</v>
          </cell>
          <cell r="F20" t="str">
            <v>Faxserv_S1</v>
          </cell>
          <cell r="G20" t="str">
            <v>SK남산빌딩</v>
          </cell>
          <cell r="H20" t="str">
            <v>Fax Server</v>
          </cell>
        </row>
        <row r="21">
          <cell r="A21" t="str">
            <v>PHENIX</v>
          </cell>
          <cell r="B21" t="str">
            <v>NT-CPU-기타-00242</v>
          </cell>
          <cell r="C21" t="str">
            <v>N</v>
          </cell>
          <cell r="D21" t="str">
            <v>비대상</v>
          </cell>
          <cell r="F21" t="str">
            <v>PHENIX</v>
          </cell>
          <cell r="G21" t="str">
            <v>SK해운지사</v>
          </cell>
          <cell r="H21" t="str">
            <v>File,Print Server(군산사무소)</v>
          </cell>
        </row>
        <row r="22">
          <cell r="A22" t="str">
            <v>SHIPNOTES</v>
          </cell>
          <cell r="B22" t="str">
            <v>NT-CPU-COMPAQ-00662</v>
          </cell>
          <cell r="C22" t="str">
            <v>N</v>
          </cell>
          <cell r="D22" t="str">
            <v>비대상</v>
          </cell>
          <cell r="F22" t="str">
            <v>SHIPNOTES</v>
          </cell>
          <cell r="G22" t="str">
            <v>SK남산빌딩</v>
          </cell>
          <cell r="H22" t="str">
            <v>Notes Mail Server</v>
          </cell>
        </row>
        <row r="23">
          <cell r="A23" t="str">
            <v>COMMANDER</v>
          </cell>
          <cell r="B23" t="str">
            <v>NT-CPU-기타-00241</v>
          </cell>
          <cell r="C23" t="str">
            <v>N</v>
          </cell>
          <cell r="D23" t="str">
            <v>비대상</v>
          </cell>
          <cell r="F23" t="str">
            <v>COMMANDER</v>
          </cell>
          <cell r="G23" t="str">
            <v>SK해운지사</v>
          </cell>
          <cell r="H23" t="str">
            <v>File,Print Server(부산사무소)</v>
          </cell>
        </row>
        <row r="24">
          <cell r="A24" t="str">
            <v>ACHIEVER</v>
          </cell>
          <cell r="B24" t="str">
            <v>NT-CPU-기타-00244</v>
          </cell>
          <cell r="C24" t="str">
            <v>N</v>
          </cell>
          <cell r="D24" t="str">
            <v>비대상</v>
          </cell>
          <cell r="F24" t="str">
            <v>ACHIEVER</v>
          </cell>
          <cell r="G24" t="str">
            <v>SK해운지사</v>
          </cell>
          <cell r="H24" t="str">
            <v>File,Print Server(거제신조팀)</v>
          </cell>
        </row>
        <row r="25">
          <cell r="A25" t="str">
            <v>SHIPPING_TSM</v>
          </cell>
          <cell r="B25" t="str">
            <v>NT-CPU-COMPAQ-00668</v>
          </cell>
          <cell r="C25" t="str">
            <v>N</v>
          </cell>
          <cell r="D25" t="str">
            <v>비대상</v>
          </cell>
          <cell r="F25" t="str">
            <v>SHIPPING_TSM</v>
          </cell>
          <cell r="G25" t="str">
            <v>SK남산빌딩</v>
          </cell>
          <cell r="H25" t="str">
            <v>TCO TSM SERVER(신규)</v>
          </cell>
        </row>
        <row r="26">
          <cell r="A26" t="str">
            <v>PRIME</v>
          </cell>
          <cell r="B26" t="str">
            <v>NT-CPU-기타-00237</v>
          </cell>
          <cell r="C26" t="str">
            <v>N</v>
          </cell>
          <cell r="D26" t="str">
            <v>비대상</v>
          </cell>
          <cell r="F26" t="str">
            <v>PRIME</v>
          </cell>
          <cell r="G26" t="str">
            <v>SK남산빌딩</v>
          </cell>
          <cell r="H26" t="str">
            <v>DNS Server</v>
          </cell>
        </row>
        <row r="27">
          <cell r="A27" t="str">
            <v>WINNER</v>
          </cell>
          <cell r="B27" t="str">
            <v>NT-CPU-COMPAQ-00665</v>
          </cell>
          <cell r="C27" t="str">
            <v>N</v>
          </cell>
          <cell r="D27" t="str">
            <v>비대상</v>
          </cell>
          <cell r="F27" t="str">
            <v>WINNER</v>
          </cell>
          <cell r="G27" t="str">
            <v>SK해운지사</v>
          </cell>
          <cell r="H27" t="str">
            <v>File,Print Server(울산사무소)</v>
          </cell>
        </row>
        <row r="28">
          <cell r="A28" t="str">
            <v>SHIPDB2</v>
          </cell>
          <cell r="B28" t="str">
            <v>NT-CPU-COMPAQ-00663</v>
          </cell>
          <cell r="C28" t="str">
            <v>N</v>
          </cell>
          <cell r="D28" t="str">
            <v>비대상</v>
          </cell>
          <cell r="F28" t="str">
            <v>SHIPDB2</v>
          </cell>
          <cell r="G28" t="str">
            <v>SK남산빌딩</v>
          </cell>
          <cell r="H28" t="str">
            <v>MIS DB Server</v>
          </cell>
        </row>
        <row r="29">
          <cell r="A29" t="str">
            <v>SHIPM2</v>
          </cell>
          <cell r="B29" t="str">
            <v>NT-CPU-COMPAQ-00664</v>
          </cell>
          <cell r="C29" t="str">
            <v>N</v>
          </cell>
          <cell r="D29" t="str">
            <v>비대상</v>
          </cell>
          <cell r="F29" t="str">
            <v>SHIPM2</v>
          </cell>
          <cell r="G29" t="str">
            <v>SK남산빌딩</v>
          </cell>
          <cell r="H29" t="str">
            <v>COMPLUS Services</v>
          </cell>
        </row>
        <row r="30">
          <cell r="A30" t="str">
            <v>SUCCESS</v>
          </cell>
          <cell r="B30" t="str">
            <v>NT-CPU-기타-00243</v>
          </cell>
          <cell r="C30" t="str">
            <v>N</v>
          </cell>
          <cell r="D30" t="str">
            <v>비대상</v>
          </cell>
          <cell r="F30" t="str">
            <v>SUCCESS</v>
          </cell>
          <cell r="G30" t="str">
            <v>SK해운지사</v>
          </cell>
          <cell r="H30" t="str">
            <v>File,Print Server(부산사무소)</v>
          </cell>
        </row>
        <row r="31">
          <cell r="A31" t="str">
            <v>BNOVA</v>
          </cell>
          <cell r="B31" t="str">
            <v>NT-CPU-기타-00292</v>
          </cell>
          <cell r="C31" t="str">
            <v>N</v>
          </cell>
          <cell r="D31" t="str">
            <v>비대상</v>
          </cell>
          <cell r="F31" t="str">
            <v>BNOVA</v>
          </cell>
          <cell r="G31" t="str">
            <v>SK해운지사</v>
          </cell>
          <cell r="H31" t="str">
            <v>File,Print Server(양산사무소)</v>
          </cell>
        </row>
        <row r="32">
          <cell r="A32" t="str">
            <v>PRIDSHIP</v>
          </cell>
          <cell r="B32" t="str">
            <v>NT-CPU-COMPAQ-00667</v>
          </cell>
          <cell r="C32" t="str">
            <v>N</v>
          </cell>
          <cell r="D32" t="str">
            <v>비대상</v>
          </cell>
          <cell r="F32" t="str">
            <v>PRIDSHIP</v>
          </cell>
          <cell r="G32" t="str">
            <v>SK남산빌딩</v>
          </cell>
          <cell r="H32" t="str">
            <v>ISAC PRID SERVER</v>
          </cell>
        </row>
        <row r="33">
          <cell r="A33" t="str">
            <v>PRTSHIP</v>
          </cell>
          <cell r="B33" t="str">
            <v>NT-CPU-COMPAQ-00669</v>
          </cell>
          <cell r="C33" t="str">
            <v>N</v>
          </cell>
          <cell r="D33" t="str">
            <v>비대상</v>
          </cell>
          <cell r="F33" t="str">
            <v>PRTSHIP</v>
          </cell>
          <cell r="G33" t="str">
            <v>SK남산빌딩</v>
          </cell>
          <cell r="H33" t="str">
            <v>전사프린터 서버</v>
          </cell>
        </row>
        <row r="34">
          <cell r="A34" t="str">
            <v>PIONEER</v>
          </cell>
          <cell r="B34" t="str">
            <v>NT-CPU-COMPAQ-00670</v>
          </cell>
          <cell r="C34" t="str">
            <v>N</v>
          </cell>
          <cell r="D34" t="str">
            <v>비대상</v>
          </cell>
          <cell r="F34" t="str">
            <v>PIONEER</v>
          </cell>
          <cell r="G34" t="str">
            <v>SK남산빌딩</v>
          </cell>
          <cell r="H34" t="str">
            <v>전사파일 서버</v>
          </cell>
        </row>
        <row r="35">
          <cell r="A35" t="str">
            <v>SHIPDB1</v>
          </cell>
          <cell r="B35" t="str">
            <v>NT-CPU-COMPAQ-00671</v>
          </cell>
          <cell r="C35" t="str">
            <v>N</v>
          </cell>
          <cell r="D35" t="str">
            <v>비대상</v>
          </cell>
          <cell r="F35" t="str">
            <v>SHIPDB1</v>
          </cell>
          <cell r="G35" t="str">
            <v>SK남산빌딩</v>
          </cell>
          <cell r="H35" t="str">
            <v>MIS DB Server</v>
          </cell>
        </row>
        <row r="36">
          <cell r="A36" t="str">
            <v>SUMMIT</v>
          </cell>
          <cell r="B36" t="str">
            <v>NT-CPU-COMPAQ-00666</v>
          </cell>
          <cell r="C36" t="str">
            <v>N</v>
          </cell>
          <cell r="D36" t="str">
            <v>비대상</v>
          </cell>
          <cell r="F36" t="str">
            <v>SUMMIT</v>
          </cell>
          <cell r="G36" t="str">
            <v>SK남산빌딩</v>
          </cell>
          <cell r="H36" t="str">
            <v>해사팀 IMAGE FILE 서버,Web Server</v>
          </cell>
        </row>
        <row r="37">
          <cell r="A37" t="str">
            <v>SHIPM1</v>
          </cell>
          <cell r="B37" t="str">
            <v>NT-CPU-COMPAQ-00672</v>
          </cell>
          <cell r="C37" t="str">
            <v>N</v>
          </cell>
          <cell r="D37" t="str">
            <v>비대상</v>
          </cell>
          <cell r="F37" t="str">
            <v>SHIPM1</v>
          </cell>
          <cell r="G37" t="str">
            <v>SK남산빌딩</v>
          </cell>
          <cell r="H37" t="str">
            <v>COMPLUS Services</v>
          </cell>
        </row>
        <row r="38">
          <cell r="C38" t="str">
            <v>N</v>
          </cell>
          <cell r="D38" t="str">
            <v>비대상</v>
          </cell>
        </row>
        <row r="39">
          <cell r="A39" t="str">
            <v>NAVIGATOR</v>
          </cell>
          <cell r="B39" t="str">
            <v>NT-CPU-기타-00271</v>
          </cell>
          <cell r="C39" t="str">
            <v>N</v>
          </cell>
          <cell r="D39" t="str">
            <v>비대상</v>
          </cell>
          <cell r="F39" t="str">
            <v>NAVIGATOR</v>
          </cell>
          <cell r="G39" t="str">
            <v>울산CLX</v>
          </cell>
          <cell r="H39" t="str">
            <v>File,Print Server(울산SBM팀)</v>
          </cell>
        </row>
      </sheetData>
      <sheetData sheetId="8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Function</v>
          </cell>
          <cell r="F1" t="str">
            <v>Sub-Function</v>
          </cell>
          <cell r="G1" t="str">
            <v>Platform</v>
          </cell>
          <cell r="H1" t="str">
            <v>Location</v>
          </cell>
          <cell r="I1" t="str">
            <v>적용업무1</v>
          </cell>
        </row>
        <row r="3">
          <cell r="A3" t="str">
            <v>PDMASMP</v>
          </cell>
          <cell r="B3" t="str">
            <v>S01</v>
          </cell>
          <cell r="C3" t="str">
            <v>Y</v>
          </cell>
          <cell r="D3" t="str">
            <v>A</v>
          </cell>
          <cell r="E3" t="str">
            <v>영업</v>
          </cell>
          <cell r="F3" t="str">
            <v>COIS</v>
          </cell>
          <cell r="G3" t="str">
            <v>Host</v>
          </cell>
          <cell r="H3" t="str">
            <v>대덕DC</v>
          </cell>
          <cell r="I3" t="str">
            <v>COIS</v>
          </cell>
        </row>
        <row r="4">
          <cell r="A4" t="str">
            <v>PDMASDV</v>
          </cell>
          <cell r="B4" t="str">
            <v>S01</v>
          </cell>
          <cell r="C4" t="str">
            <v>Y</v>
          </cell>
          <cell r="D4" t="str">
            <v>A</v>
          </cell>
          <cell r="E4" t="str">
            <v>영업</v>
          </cell>
          <cell r="F4" t="str">
            <v>COIS</v>
          </cell>
          <cell r="G4" t="str">
            <v>Host</v>
          </cell>
          <cell r="H4" t="str">
            <v>대덕DC</v>
          </cell>
          <cell r="I4" t="str">
            <v>COIS</v>
          </cell>
        </row>
        <row r="5">
          <cell r="A5" t="str">
            <v>PDMASMQ</v>
          </cell>
          <cell r="B5" t="str">
            <v>S01</v>
          </cell>
          <cell r="C5" t="str">
            <v>Y</v>
          </cell>
          <cell r="D5" t="str">
            <v>A</v>
          </cell>
          <cell r="E5" t="str">
            <v>영업</v>
          </cell>
          <cell r="F5" t="str">
            <v>COIS</v>
          </cell>
          <cell r="G5" t="str">
            <v>Host</v>
          </cell>
          <cell r="H5" t="str">
            <v>대덕DC</v>
          </cell>
          <cell r="I5" t="str">
            <v>COIS</v>
          </cell>
        </row>
        <row r="6">
          <cell r="A6" t="str">
            <v>PDMAS11</v>
          </cell>
          <cell r="B6" t="str">
            <v>S01</v>
          </cell>
          <cell r="C6" t="str">
            <v>Y</v>
          </cell>
          <cell r="D6" t="str">
            <v>A</v>
          </cell>
          <cell r="E6" t="str">
            <v>영업</v>
          </cell>
          <cell r="F6" t="str">
            <v>COIS</v>
          </cell>
          <cell r="G6" t="str">
            <v>Host</v>
          </cell>
          <cell r="H6" t="str">
            <v>대덕DC</v>
          </cell>
          <cell r="I6" t="str">
            <v>COIS</v>
          </cell>
        </row>
        <row r="7">
          <cell r="A7" t="str">
            <v>PDMAS12</v>
          </cell>
          <cell r="B7" t="str">
            <v>S01</v>
          </cell>
          <cell r="C7" t="str">
            <v>Y</v>
          </cell>
          <cell r="D7" t="str">
            <v>A</v>
          </cell>
          <cell r="E7" t="str">
            <v>영업</v>
          </cell>
          <cell r="F7" t="str">
            <v>COIS</v>
          </cell>
          <cell r="G7" t="str">
            <v>Host</v>
          </cell>
          <cell r="H7" t="str">
            <v>대덕DC</v>
          </cell>
          <cell r="I7" t="str">
            <v>COIS</v>
          </cell>
        </row>
        <row r="8">
          <cell r="A8" t="str">
            <v>PDMAS13</v>
          </cell>
          <cell r="B8" t="str">
            <v>S01</v>
          </cell>
          <cell r="C8" t="str">
            <v>Y</v>
          </cell>
          <cell r="D8" t="str">
            <v>A</v>
          </cell>
          <cell r="E8" t="str">
            <v>영업</v>
          </cell>
          <cell r="F8" t="str">
            <v>COIS</v>
          </cell>
          <cell r="G8" t="str">
            <v>Host</v>
          </cell>
          <cell r="H8" t="str">
            <v>대덕DC</v>
          </cell>
          <cell r="I8" t="str">
            <v>COIS</v>
          </cell>
        </row>
        <row r="9">
          <cell r="A9" t="str">
            <v>PDMAS14</v>
          </cell>
          <cell r="B9" t="str">
            <v>S01</v>
          </cell>
          <cell r="C9" t="str">
            <v>Y</v>
          </cell>
          <cell r="D9" t="str">
            <v>A</v>
          </cell>
          <cell r="E9" t="str">
            <v>영업</v>
          </cell>
          <cell r="F9" t="str">
            <v>COIS</v>
          </cell>
          <cell r="G9" t="str">
            <v>Host</v>
          </cell>
          <cell r="H9" t="str">
            <v>대덕DC</v>
          </cell>
          <cell r="I9" t="str">
            <v>COIS</v>
          </cell>
        </row>
        <row r="10">
          <cell r="A10" t="str">
            <v>PDMAS15</v>
          </cell>
          <cell r="B10" t="str">
            <v>S01</v>
          </cell>
          <cell r="C10" t="str">
            <v>Y</v>
          </cell>
          <cell r="D10" t="str">
            <v>A</v>
          </cell>
          <cell r="E10" t="str">
            <v>영업</v>
          </cell>
          <cell r="F10" t="str">
            <v>COIS</v>
          </cell>
          <cell r="G10" t="str">
            <v>Host</v>
          </cell>
          <cell r="H10" t="str">
            <v>대덕DC</v>
          </cell>
          <cell r="I10" t="str">
            <v>COIS</v>
          </cell>
        </row>
        <row r="11">
          <cell r="A11" t="str">
            <v>PDMAS16</v>
          </cell>
          <cell r="B11" t="str">
            <v>S01</v>
          </cell>
          <cell r="C11" t="str">
            <v>Y</v>
          </cell>
          <cell r="D11" t="str">
            <v>A</v>
          </cell>
          <cell r="E11" t="str">
            <v>영업</v>
          </cell>
          <cell r="F11" t="str">
            <v>COIS</v>
          </cell>
          <cell r="G11" t="str">
            <v>Host</v>
          </cell>
          <cell r="H11" t="str">
            <v>대덕DC</v>
          </cell>
          <cell r="I11" t="str">
            <v>COIS</v>
          </cell>
        </row>
        <row r="12">
          <cell r="A12" t="str">
            <v>PDMAS31</v>
          </cell>
          <cell r="B12" t="str">
            <v>S02</v>
          </cell>
          <cell r="C12" t="str">
            <v>Y</v>
          </cell>
          <cell r="D12" t="str">
            <v>A</v>
          </cell>
          <cell r="E12" t="str">
            <v>영업</v>
          </cell>
          <cell r="F12" t="str">
            <v>COIS</v>
          </cell>
          <cell r="G12" t="str">
            <v>Host</v>
          </cell>
          <cell r="H12" t="str">
            <v>대덕DC</v>
          </cell>
          <cell r="I12" t="str">
            <v>COIS</v>
          </cell>
        </row>
        <row r="13">
          <cell r="A13" t="str">
            <v>PDMAS32</v>
          </cell>
          <cell r="B13" t="str">
            <v>S02</v>
          </cell>
          <cell r="C13" t="str">
            <v>Y</v>
          </cell>
          <cell r="D13" t="str">
            <v>A</v>
          </cell>
          <cell r="E13" t="str">
            <v>영업</v>
          </cell>
          <cell r="F13" t="str">
            <v>COIS</v>
          </cell>
          <cell r="G13" t="str">
            <v>Host</v>
          </cell>
          <cell r="H13" t="str">
            <v>대덕DC</v>
          </cell>
          <cell r="I13" t="str">
            <v>COIS</v>
          </cell>
        </row>
        <row r="14">
          <cell r="A14" t="str">
            <v>PDMAS33</v>
          </cell>
          <cell r="B14" t="str">
            <v>S02</v>
          </cell>
          <cell r="C14" t="str">
            <v>Y</v>
          </cell>
          <cell r="D14" t="str">
            <v>A</v>
          </cell>
          <cell r="E14" t="str">
            <v>영업</v>
          </cell>
          <cell r="F14" t="str">
            <v>COIS</v>
          </cell>
          <cell r="G14" t="str">
            <v>Host</v>
          </cell>
          <cell r="H14" t="str">
            <v>대덕DC</v>
          </cell>
          <cell r="I14" t="str">
            <v>COIS</v>
          </cell>
        </row>
        <row r="15">
          <cell r="A15" t="str">
            <v>PDMAS34</v>
          </cell>
          <cell r="B15" t="str">
            <v>S02</v>
          </cell>
          <cell r="C15" t="str">
            <v>Y</v>
          </cell>
          <cell r="D15" t="str">
            <v>A</v>
          </cell>
          <cell r="E15" t="str">
            <v>영업</v>
          </cell>
          <cell r="F15" t="str">
            <v>COIS</v>
          </cell>
          <cell r="G15" t="str">
            <v>Host</v>
          </cell>
          <cell r="H15" t="str">
            <v>대덕DC</v>
          </cell>
          <cell r="I15" t="str">
            <v>COIS</v>
          </cell>
        </row>
        <row r="16">
          <cell r="A16" t="str">
            <v>PDMAS35</v>
          </cell>
          <cell r="B16" t="str">
            <v>S02</v>
          </cell>
          <cell r="C16" t="str">
            <v>Y</v>
          </cell>
          <cell r="D16" t="str">
            <v>A</v>
          </cell>
          <cell r="E16" t="str">
            <v>영업</v>
          </cell>
          <cell r="F16" t="str">
            <v>COIS</v>
          </cell>
          <cell r="G16" t="str">
            <v>Host</v>
          </cell>
          <cell r="H16" t="str">
            <v>대덕DC</v>
          </cell>
          <cell r="I16" t="str">
            <v>COIS</v>
          </cell>
        </row>
        <row r="17">
          <cell r="A17" t="str">
            <v>PDMAS36</v>
          </cell>
          <cell r="B17" t="str">
            <v>S02</v>
          </cell>
          <cell r="C17" t="str">
            <v>Y</v>
          </cell>
          <cell r="D17" t="str">
            <v>A</v>
          </cell>
          <cell r="E17" t="str">
            <v>영업</v>
          </cell>
          <cell r="F17" t="str">
            <v>COIS</v>
          </cell>
          <cell r="G17" t="str">
            <v>Host</v>
          </cell>
          <cell r="H17" t="str">
            <v>대덕DC</v>
          </cell>
          <cell r="I17" t="str">
            <v>COIS</v>
          </cell>
        </row>
        <row r="18">
          <cell r="A18" t="str">
            <v>PDMAS51</v>
          </cell>
          <cell r="B18" t="str">
            <v>S07</v>
          </cell>
          <cell r="C18" t="str">
            <v>Y</v>
          </cell>
          <cell r="D18" t="str">
            <v>A</v>
          </cell>
          <cell r="E18" t="str">
            <v>영업</v>
          </cell>
          <cell r="F18" t="str">
            <v>COIS</v>
          </cell>
          <cell r="G18" t="str">
            <v>Host</v>
          </cell>
          <cell r="H18" t="str">
            <v>대덕DC</v>
          </cell>
          <cell r="I18" t="str">
            <v>COIS</v>
          </cell>
        </row>
        <row r="19">
          <cell r="A19" t="str">
            <v>PDMAS52</v>
          </cell>
          <cell r="B19" t="str">
            <v>S07</v>
          </cell>
          <cell r="C19" t="str">
            <v>Y</v>
          </cell>
          <cell r="D19" t="str">
            <v>A</v>
          </cell>
          <cell r="E19" t="str">
            <v>영업</v>
          </cell>
          <cell r="F19" t="str">
            <v>COIS</v>
          </cell>
          <cell r="G19" t="str">
            <v>Host</v>
          </cell>
          <cell r="H19" t="str">
            <v>대덕DC</v>
          </cell>
          <cell r="I19" t="str">
            <v>COIS</v>
          </cell>
        </row>
        <row r="20">
          <cell r="A20" t="str">
            <v>PDMAS53</v>
          </cell>
          <cell r="B20" t="str">
            <v>S07</v>
          </cell>
          <cell r="C20" t="str">
            <v>Y</v>
          </cell>
          <cell r="D20" t="str">
            <v>A</v>
          </cell>
          <cell r="E20" t="str">
            <v>영업</v>
          </cell>
          <cell r="F20" t="str">
            <v>COIS</v>
          </cell>
          <cell r="G20" t="str">
            <v>Host</v>
          </cell>
          <cell r="H20" t="str">
            <v>대덕DC</v>
          </cell>
          <cell r="I20" t="str">
            <v>COIS</v>
          </cell>
        </row>
        <row r="21">
          <cell r="A21" t="str">
            <v>PDMAS54</v>
          </cell>
          <cell r="B21" t="str">
            <v>S07</v>
          </cell>
          <cell r="C21" t="str">
            <v>Y</v>
          </cell>
          <cell r="D21" t="str">
            <v>A</v>
          </cell>
          <cell r="E21" t="str">
            <v>영업</v>
          </cell>
          <cell r="F21" t="str">
            <v>COIS</v>
          </cell>
          <cell r="G21" t="str">
            <v>Host</v>
          </cell>
          <cell r="H21" t="str">
            <v>대덕DC</v>
          </cell>
          <cell r="I21" t="str">
            <v>COIS</v>
          </cell>
        </row>
        <row r="22">
          <cell r="A22" t="str">
            <v>PDMAS55</v>
          </cell>
          <cell r="B22" t="str">
            <v>S07</v>
          </cell>
          <cell r="C22" t="str">
            <v>Y</v>
          </cell>
          <cell r="D22" t="str">
            <v>A</v>
          </cell>
          <cell r="E22" t="str">
            <v>영업</v>
          </cell>
          <cell r="F22" t="str">
            <v>COIS</v>
          </cell>
          <cell r="G22" t="str">
            <v>Host</v>
          </cell>
          <cell r="H22" t="str">
            <v>대덕DC</v>
          </cell>
          <cell r="I22" t="str">
            <v>COIS</v>
          </cell>
        </row>
        <row r="23">
          <cell r="A23" t="str">
            <v>PDMAS56</v>
          </cell>
          <cell r="B23" t="str">
            <v>S07</v>
          </cell>
          <cell r="C23" t="str">
            <v>Y</v>
          </cell>
          <cell r="D23" t="str">
            <v>A</v>
          </cell>
          <cell r="E23" t="str">
            <v>영업</v>
          </cell>
          <cell r="F23" t="str">
            <v>COIS</v>
          </cell>
          <cell r="G23" t="str">
            <v>Host</v>
          </cell>
          <cell r="H23" t="str">
            <v>대덕DC</v>
          </cell>
          <cell r="I23" t="str">
            <v>COIS</v>
          </cell>
        </row>
        <row r="24">
          <cell r="A24" t="str">
            <v>PDMAS41</v>
          </cell>
          <cell r="B24" t="str">
            <v>S06</v>
          </cell>
          <cell r="C24" t="str">
            <v>Y</v>
          </cell>
          <cell r="D24" t="str">
            <v>A</v>
          </cell>
          <cell r="E24" t="str">
            <v>영업</v>
          </cell>
          <cell r="F24" t="str">
            <v>COIS</v>
          </cell>
          <cell r="G24" t="str">
            <v>Host</v>
          </cell>
          <cell r="H24" t="str">
            <v>대덕DC</v>
          </cell>
          <cell r="I24" t="str">
            <v>COIS</v>
          </cell>
        </row>
        <row r="25">
          <cell r="A25" t="str">
            <v>PDMAS42</v>
          </cell>
          <cell r="B25" t="str">
            <v>S06</v>
          </cell>
          <cell r="C25" t="str">
            <v>Y</v>
          </cell>
          <cell r="D25" t="str">
            <v>A</v>
          </cell>
          <cell r="E25" t="str">
            <v>영업</v>
          </cell>
          <cell r="F25" t="str">
            <v>COIS</v>
          </cell>
          <cell r="G25" t="str">
            <v>Host</v>
          </cell>
          <cell r="H25" t="str">
            <v>대덕DC</v>
          </cell>
          <cell r="I25" t="str">
            <v>COIS</v>
          </cell>
        </row>
        <row r="26">
          <cell r="A26" t="str">
            <v>PDMAS43</v>
          </cell>
          <cell r="B26" t="str">
            <v>S06</v>
          </cell>
          <cell r="C26" t="str">
            <v>Y</v>
          </cell>
          <cell r="D26" t="str">
            <v>A</v>
          </cell>
          <cell r="E26" t="str">
            <v>영업</v>
          </cell>
          <cell r="F26" t="str">
            <v>COIS</v>
          </cell>
          <cell r="G26" t="str">
            <v>Host</v>
          </cell>
          <cell r="H26" t="str">
            <v>대덕DC</v>
          </cell>
          <cell r="I26" t="str">
            <v>COIS</v>
          </cell>
        </row>
        <row r="27">
          <cell r="A27" t="str">
            <v>PDMAS44</v>
          </cell>
          <cell r="B27" t="str">
            <v>S06</v>
          </cell>
          <cell r="C27" t="str">
            <v>Y</v>
          </cell>
          <cell r="D27" t="str">
            <v>A</v>
          </cell>
          <cell r="E27" t="str">
            <v>영업</v>
          </cell>
          <cell r="F27" t="str">
            <v>COIS</v>
          </cell>
          <cell r="G27" t="str">
            <v>Host</v>
          </cell>
          <cell r="H27" t="str">
            <v>대덕DC</v>
          </cell>
          <cell r="I27" t="str">
            <v>COIS</v>
          </cell>
        </row>
        <row r="28">
          <cell r="A28" t="str">
            <v>PDMAS45</v>
          </cell>
          <cell r="B28" t="str">
            <v>S06</v>
          </cell>
          <cell r="C28" t="str">
            <v>Y</v>
          </cell>
          <cell r="D28" t="str">
            <v>A</v>
          </cell>
          <cell r="E28" t="str">
            <v>영업</v>
          </cell>
          <cell r="F28" t="str">
            <v>COIS</v>
          </cell>
          <cell r="G28" t="str">
            <v>Host</v>
          </cell>
          <cell r="H28" t="str">
            <v>대덕DC</v>
          </cell>
          <cell r="I28" t="str">
            <v>COIS</v>
          </cell>
        </row>
        <row r="29">
          <cell r="A29" t="str">
            <v>PDMAS46</v>
          </cell>
          <cell r="B29" t="str">
            <v>S06</v>
          </cell>
          <cell r="C29" t="str">
            <v>Y</v>
          </cell>
          <cell r="D29" t="str">
            <v>A</v>
          </cell>
          <cell r="E29" t="str">
            <v>영업</v>
          </cell>
          <cell r="F29" t="str">
            <v>COIS</v>
          </cell>
          <cell r="G29" t="str">
            <v>Host</v>
          </cell>
          <cell r="H29" t="str">
            <v>대덕DC</v>
          </cell>
          <cell r="I29" t="str">
            <v>COIS</v>
          </cell>
        </row>
        <row r="30">
          <cell r="A30" t="str">
            <v>PDMASES</v>
          </cell>
          <cell r="B30" t="str">
            <v>S06</v>
          </cell>
          <cell r="C30" t="str">
            <v>Y</v>
          </cell>
          <cell r="D30" t="str">
            <v>A</v>
          </cell>
          <cell r="E30" t="str">
            <v>영업</v>
          </cell>
          <cell r="F30" t="str">
            <v>COIS</v>
          </cell>
          <cell r="G30" t="str">
            <v>Host</v>
          </cell>
          <cell r="H30" t="str">
            <v>대덕DC</v>
          </cell>
          <cell r="I30" t="str">
            <v>COIS</v>
          </cell>
        </row>
        <row r="31">
          <cell r="A31" t="str">
            <v>PDMASCM</v>
          </cell>
          <cell r="B31" t="str">
            <v>S06</v>
          </cell>
          <cell r="C31" t="str">
            <v>Y</v>
          </cell>
          <cell r="D31" t="str">
            <v>A</v>
          </cell>
          <cell r="E31" t="str">
            <v>영업</v>
          </cell>
          <cell r="F31" t="str">
            <v>COIS</v>
          </cell>
          <cell r="G31" t="str">
            <v>Host</v>
          </cell>
          <cell r="H31" t="str">
            <v>대덕DC</v>
          </cell>
          <cell r="I31" t="str">
            <v>COIS</v>
          </cell>
        </row>
        <row r="32">
          <cell r="C32" t="str">
            <v>합계</v>
          </cell>
        </row>
        <row r="33">
          <cell r="A33" t="str">
            <v>spip1_svc</v>
          </cell>
          <cell r="B33" t="str">
            <v>UX-CPU-RS6000-00003</v>
          </cell>
          <cell r="C33" t="str">
            <v>Y</v>
          </cell>
          <cell r="D33" t="str">
            <v>A</v>
          </cell>
          <cell r="E33" t="str">
            <v>영업</v>
          </cell>
          <cell r="F33" t="str">
            <v>보증보험</v>
          </cell>
          <cell r="G33" t="str">
            <v>C/S</v>
          </cell>
          <cell r="H33" t="str">
            <v>보라매</v>
          </cell>
          <cell r="I33" t="str">
            <v>보증보험(DR)</v>
          </cell>
        </row>
        <row r="34">
          <cell r="A34" t="str">
            <v>spedi1</v>
          </cell>
          <cell r="B34" t="str">
            <v>UX-CPU-RS6000-00013</v>
          </cell>
          <cell r="C34" t="str">
            <v>Y</v>
          </cell>
          <cell r="D34" t="str">
            <v>A</v>
          </cell>
          <cell r="E34" t="str">
            <v>영업</v>
          </cell>
          <cell r="F34" t="str">
            <v>보증보험</v>
          </cell>
          <cell r="G34" t="str">
            <v>C/S</v>
          </cell>
          <cell r="H34" t="str">
            <v>대전,연구동</v>
          </cell>
          <cell r="I34" t="str">
            <v>보증보험 백업</v>
          </cell>
        </row>
        <row r="35">
          <cell r="A35" t="str">
            <v>spedi5</v>
          </cell>
          <cell r="B35" t="str">
            <v>UX-CPU-RS6000-00014</v>
          </cell>
          <cell r="C35" t="str">
            <v>Y</v>
          </cell>
          <cell r="D35" t="str">
            <v>A</v>
          </cell>
          <cell r="E35" t="str">
            <v>영업</v>
          </cell>
          <cell r="F35" t="str">
            <v>보증보험</v>
          </cell>
          <cell r="G35" t="str">
            <v>C/S</v>
          </cell>
          <cell r="H35" t="str">
            <v>대전,연구동</v>
          </cell>
          <cell r="I35" t="str">
            <v>보증보험</v>
          </cell>
        </row>
        <row r="36">
          <cell r="A36" t="str">
            <v>sptb13(spsam13)</v>
          </cell>
          <cell r="B36" t="str">
            <v>UX-CPU-RS6000-00016</v>
          </cell>
          <cell r="C36" t="str">
            <v>Y</v>
          </cell>
          <cell r="D36" t="str">
            <v>A</v>
          </cell>
          <cell r="E36" t="str">
            <v>영업</v>
          </cell>
          <cell r="F36" t="str">
            <v>신용정보</v>
          </cell>
          <cell r="G36" t="str">
            <v>C/S</v>
          </cell>
          <cell r="H36" t="str">
            <v>대전,연구동</v>
          </cell>
          <cell r="I36" t="str">
            <v>신용정보</v>
          </cell>
        </row>
        <row r="37">
          <cell r="A37" t="str">
            <v>cqis2</v>
          </cell>
          <cell r="B37" t="str">
            <v>UX-CPU-HP-00011</v>
          </cell>
          <cell r="C37" t="str">
            <v>Y</v>
          </cell>
          <cell r="D37" t="str">
            <v>A</v>
          </cell>
          <cell r="E37" t="str">
            <v>고객상담(일반)</v>
          </cell>
          <cell r="F37" t="str">
            <v>통화품질</v>
          </cell>
          <cell r="G37" t="str">
            <v>C/S</v>
          </cell>
          <cell r="H37" t="str">
            <v>보라매</v>
          </cell>
          <cell r="I37" t="str">
            <v>CSMS</v>
          </cell>
        </row>
        <row r="38">
          <cell r="A38" t="str">
            <v>cqis1</v>
          </cell>
          <cell r="B38" t="str">
            <v>UX-CPU-HP-00012</v>
          </cell>
          <cell r="C38" t="str">
            <v>Y</v>
          </cell>
          <cell r="D38" t="str">
            <v>A</v>
          </cell>
          <cell r="E38" t="str">
            <v>고객상담(일반)</v>
          </cell>
          <cell r="F38" t="str">
            <v>통화품질</v>
          </cell>
          <cell r="G38" t="str">
            <v>C/S</v>
          </cell>
          <cell r="H38" t="str">
            <v>보라매</v>
          </cell>
          <cell r="I38" t="str">
            <v>ESM</v>
          </cell>
        </row>
        <row r="39">
          <cell r="A39" t="str">
            <v>FOS01</v>
          </cell>
          <cell r="B39" t="str">
            <v>UX-CPU-HP-00054</v>
          </cell>
          <cell r="C39" t="str">
            <v>Y</v>
          </cell>
          <cell r="D39" t="str">
            <v>A</v>
          </cell>
          <cell r="E39" t="str">
            <v>CDS</v>
          </cell>
          <cell r="F39" t="str">
            <v>CDS</v>
          </cell>
          <cell r="G39" t="str">
            <v>C/S</v>
          </cell>
          <cell r="H39" t="str">
            <v>대전,행정동</v>
          </cell>
          <cell r="I39" t="str">
            <v>CDS (예비)</v>
          </cell>
        </row>
        <row r="40">
          <cell r="A40" t="str">
            <v>FOS02</v>
          </cell>
          <cell r="B40" t="str">
            <v>UX-CPU-HP-00055</v>
          </cell>
          <cell r="C40" t="str">
            <v>Y</v>
          </cell>
          <cell r="D40" t="str">
            <v>A</v>
          </cell>
          <cell r="E40" t="str">
            <v>CDS</v>
          </cell>
          <cell r="F40" t="str">
            <v>CDS</v>
          </cell>
          <cell r="G40" t="str">
            <v>C/S</v>
          </cell>
          <cell r="H40" t="str">
            <v>대전,행정동</v>
          </cell>
          <cell r="I40" t="str">
            <v>CDS (예비)</v>
          </cell>
        </row>
        <row r="41">
          <cell r="A41" t="str">
            <v>EIS01</v>
          </cell>
          <cell r="B41" t="str">
            <v>UX-CPU-HP-00113</v>
          </cell>
          <cell r="C41" t="str">
            <v>Y</v>
          </cell>
          <cell r="D41" t="str">
            <v>A</v>
          </cell>
          <cell r="E41" t="str">
            <v>CDS</v>
          </cell>
          <cell r="F41" t="str">
            <v>CDS</v>
          </cell>
          <cell r="G41" t="str">
            <v>C/S</v>
          </cell>
          <cell r="H41" t="str">
            <v>보라매</v>
          </cell>
          <cell r="I41" t="str">
            <v>CDS Provisioning</v>
          </cell>
        </row>
        <row r="42">
          <cell r="A42" t="str">
            <v>EIS02</v>
          </cell>
          <cell r="B42" t="str">
            <v>UX-CPU-HP-00114</v>
          </cell>
          <cell r="C42" t="str">
            <v>Y</v>
          </cell>
          <cell r="D42" t="str">
            <v>A</v>
          </cell>
          <cell r="E42" t="str">
            <v>CDS</v>
          </cell>
          <cell r="F42" t="str">
            <v>CDS</v>
          </cell>
          <cell r="G42" t="str">
            <v>C/S</v>
          </cell>
          <cell r="H42" t="str">
            <v>보라매</v>
          </cell>
          <cell r="I42" t="str">
            <v>CDS Provisioning</v>
          </cell>
        </row>
        <row r="43">
          <cell r="A43" t="str">
            <v>SKTCVS</v>
          </cell>
          <cell r="B43" t="str">
            <v>UX-CPU-HP-00125</v>
          </cell>
          <cell r="C43" t="str">
            <v>Y</v>
          </cell>
          <cell r="D43" t="str">
            <v>A</v>
          </cell>
          <cell r="E43" t="str">
            <v>고객상담(일반)</v>
          </cell>
          <cell r="F43" t="str">
            <v>CDR</v>
          </cell>
          <cell r="G43" t="str">
            <v>C/S</v>
          </cell>
          <cell r="H43" t="str">
            <v>보라매</v>
          </cell>
          <cell r="I43" t="str">
            <v>CDR오류 검증</v>
          </cell>
        </row>
        <row r="44">
          <cell r="A44" t="str">
            <v>IVRSVR6</v>
          </cell>
          <cell r="B44" t="str">
            <v>NT-Server-CPU-ETC-09000</v>
          </cell>
          <cell r="C44" t="str">
            <v>Y</v>
          </cell>
          <cell r="D44" t="str">
            <v>A</v>
          </cell>
          <cell r="E44" t="str">
            <v>고객상담(일반)</v>
          </cell>
          <cell r="F44" t="str">
            <v>CMIS</v>
          </cell>
          <cell r="G44" t="str">
            <v>C/S</v>
          </cell>
          <cell r="H44" t="str">
            <v>장안동 콜센터</v>
          </cell>
          <cell r="I44" t="str">
            <v>통계,TBSC 서버</v>
          </cell>
        </row>
        <row r="45">
          <cell r="A45" t="str">
            <v>IVR601</v>
          </cell>
          <cell r="B45" t="str">
            <v>NT-Server-CPU-ETC-09001</v>
          </cell>
          <cell r="C45" t="str">
            <v>Y</v>
          </cell>
          <cell r="D45" t="str">
            <v>A</v>
          </cell>
          <cell r="E45" t="str">
            <v>고객상담(일반)</v>
          </cell>
          <cell r="F45" t="str">
            <v>CMIS</v>
          </cell>
          <cell r="G45" t="str">
            <v>C/S</v>
          </cell>
          <cell r="H45" t="str">
            <v>장안동 콜센터</v>
          </cell>
          <cell r="I45" t="str">
            <v>자동응답시스템</v>
          </cell>
        </row>
        <row r="46">
          <cell r="A46" t="str">
            <v>IVR602</v>
          </cell>
          <cell r="B46" t="str">
            <v>NT-Server-CPU-ETC-09002</v>
          </cell>
          <cell r="C46" t="str">
            <v>Y</v>
          </cell>
          <cell r="D46" t="str">
            <v>A</v>
          </cell>
          <cell r="E46" t="str">
            <v>고객상담(일반)</v>
          </cell>
          <cell r="F46" t="str">
            <v>CMIS</v>
          </cell>
          <cell r="G46" t="str">
            <v>C/S</v>
          </cell>
          <cell r="H46" t="str">
            <v>장안동 콜센터</v>
          </cell>
          <cell r="I46" t="str">
            <v>자동응답시스템</v>
          </cell>
        </row>
        <row r="47">
          <cell r="A47" t="str">
            <v>IVR603</v>
          </cell>
          <cell r="B47" t="str">
            <v>NT-Server-CPU-ETC-09003</v>
          </cell>
          <cell r="C47" t="str">
            <v>Y</v>
          </cell>
          <cell r="D47" t="str">
            <v>A</v>
          </cell>
          <cell r="E47" t="str">
            <v>고객상담(일반)</v>
          </cell>
          <cell r="F47" t="str">
            <v>CMIS</v>
          </cell>
          <cell r="G47" t="str">
            <v>C/S</v>
          </cell>
          <cell r="H47" t="str">
            <v>장안동 콜센터</v>
          </cell>
          <cell r="I47" t="str">
            <v>자동응답시스템</v>
          </cell>
        </row>
        <row r="48">
          <cell r="A48" t="str">
            <v>IVR604</v>
          </cell>
          <cell r="B48" t="str">
            <v>NT-Server-CPU-ETC-09004</v>
          </cell>
          <cell r="C48" t="str">
            <v>Y</v>
          </cell>
          <cell r="D48" t="str">
            <v>A</v>
          </cell>
          <cell r="E48" t="str">
            <v>고객상담(일반)</v>
          </cell>
          <cell r="F48" t="str">
            <v>CMIS</v>
          </cell>
          <cell r="G48" t="str">
            <v>C/S</v>
          </cell>
          <cell r="H48" t="str">
            <v>장안동 콜센터</v>
          </cell>
          <cell r="I48" t="str">
            <v>자동응답시스템</v>
          </cell>
        </row>
        <row r="49">
          <cell r="A49" t="str">
            <v xml:space="preserve">RECSVR </v>
          </cell>
          <cell r="B49" t="str">
            <v>NT-Server-CPU-ETC-09005</v>
          </cell>
          <cell r="C49" t="str">
            <v>Y</v>
          </cell>
          <cell r="D49" t="str">
            <v>A</v>
          </cell>
          <cell r="E49" t="str">
            <v>고객상담(일반)</v>
          </cell>
          <cell r="F49" t="str">
            <v>CMIS</v>
          </cell>
          <cell r="G49" t="str">
            <v>C/S</v>
          </cell>
          <cell r="H49" t="str">
            <v>장안동 콜센터</v>
          </cell>
          <cell r="I49" t="str">
            <v>상담내역 녹음 File 서버</v>
          </cell>
        </row>
        <row r="50">
          <cell r="A50" t="str">
            <v>RECSVR2</v>
          </cell>
          <cell r="B50" t="str">
            <v>NT-Server-CPU-ETC-09006</v>
          </cell>
          <cell r="C50" t="str">
            <v>Y</v>
          </cell>
          <cell r="D50" t="str">
            <v>A</v>
          </cell>
          <cell r="E50" t="str">
            <v>고객상담(일반)</v>
          </cell>
          <cell r="F50" t="str">
            <v>CMIS</v>
          </cell>
          <cell r="G50" t="str">
            <v>C/S</v>
          </cell>
          <cell r="H50" t="str">
            <v>장안동 콜센터</v>
          </cell>
          <cell r="I50" t="str">
            <v>상담내역 녹음 File 서버</v>
          </cell>
        </row>
        <row r="51">
          <cell r="A51" t="str">
            <v>REC1</v>
          </cell>
          <cell r="B51" t="str">
            <v>NT-Server-CPU-ETC-09007</v>
          </cell>
          <cell r="C51" t="str">
            <v>Y</v>
          </cell>
          <cell r="D51" t="str">
            <v>A</v>
          </cell>
          <cell r="E51" t="str">
            <v>고객상담(일반)</v>
          </cell>
          <cell r="F51" t="str">
            <v>CMIS</v>
          </cell>
          <cell r="G51" t="str">
            <v>C/S</v>
          </cell>
          <cell r="H51" t="str">
            <v>장안동 콜센터</v>
          </cell>
          <cell r="I51" t="str">
            <v>상담내역 녹음</v>
          </cell>
        </row>
        <row r="52">
          <cell r="A52" t="str">
            <v>REC2</v>
          </cell>
          <cell r="B52" t="str">
            <v>NT-Server-CPU-ETC-09008</v>
          </cell>
          <cell r="C52" t="str">
            <v>Y</v>
          </cell>
          <cell r="D52" t="str">
            <v>A</v>
          </cell>
          <cell r="E52" t="str">
            <v>고객상담(일반)</v>
          </cell>
          <cell r="F52" t="str">
            <v>CMIS</v>
          </cell>
          <cell r="G52" t="str">
            <v>C/S</v>
          </cell>
          <cell r="H52" t="str">
            <v>장안동 콜센터</v>
          </cell>
          <cell r="I52" t="str">
            <v>상담내역 녹음</v>
          </cell>
        </row>
        <row r="53">
          <cell r="A53" t="str">
            <v>REC4</v>
          </cell>
          <cell r="B53" t="str">
            <v>NT-Server-CPU-ETC-09009</v>
          </cell>
          <cell r="C53" t="str">
            <v>Y</v>
          </cell>
          <cell r="D53" t="str">
            <v>A</v>
          </cell>
          <cell r="E53" t="str">
            <v>고객상담(일반)</v>
          </cell>
          <cell r="F53" t="str">
            <v>CMIS</v>
          </cell>
          <cell r="G53" t="str">
            <v>C/S</v>
          </cell>
          <cell r="H53" t="str">
            <v>장안동 콜센터</v>
          </cell>
          <cell r="I53" t="str">
            <v>상담내역 녹음</v>
          </cell>
        </row>
        <row r="54">
          <cell r="A54" t="str">
            <v>REC3</v>
          </cell>
          <cell r="B54" t="str">
            <v>NT-Server-CPU-ETC-09010</v>
          </cell>
          <cell r="C54" t="str">
            <v>Y</v>
          </cell>
          <cell r="D54" t="str">
            <v>A</v>
          </cell>
          <cell r="E54" t="str">
            <v>고객상담(일반)</v>
          </cell>
          <cell r="F54" t="str">
            <v>CMIS</v>
          </cell>
          <cell r="G54" t="str">
            <v>C/S</v>
          </cell>
          <cell r="H54" t="str">
            <v>장안동 콜센터</v>
          </cell>
          <cell r="I54" t="str">
            <v>상담내역 녹음</v>
          </cell>
        </row>
        <row r="55">
          <cell r="A55" t="str">
            <v>SSFAX_SVR_71</v>
          </cell>
          <cell r="B55" t="str">
            <v>NT-Server-CPU-ETC-09011</v>
          </cell>
          <cell r="C55" t="str">
            <v>Y</v>
          </cell>
          <cell r="D55" t="str">
            <v>A</v>
          </cell>
          <cell r="E55" t="str">
            <v>고객상담(일반)</v>
          </cell>
          <cell r="F55" t="str">
            <v>CMIS</v>
          </cell>
          <cell r="G55" t="str">
            <v>C/S</v>
          </cell>
          <cell r="H55" t="str">
            <v>장안동 콜센터</v>
          </cell>
          <cell r="I55" t="str">
            <v>Fax 보내기</v>
          </cell>
        </row>
        <row r="56">
          <cell r="A56" t="str">
            <v>SSFAX_SVR_72</v>
          </cell>
          <cell r="B56" t="str">
            <v>NT-Server-CPU-ETC-09012</v>
          </cell>
          <cell r="C56" t="str">
            <v>Y</v>
          </cell>
          <cell r="D56" t="str">
            <v>A</v>
          </cell>
          <cell r="E56" t="str">
            <v>고객상담(일반)</v>
          </cell>
          <cell r="F56" t="str">
            <v>CMIS</v>
          </cell>
          <cell r="G56" t="str">
            <v>C/S</v>
          </cell>
          <cell r="H56" t="str">
            <v>장안동 콜센터</v>
          </cell>
          <cell r="I56" t="str">
            <v>Fax 보내기</v>
          </cell>
        </row>
        <row r="57">
          <cell r="A57" t="str">
            <v>IVRSVR100</v>
          </cell>
          <cell r="B57" t="str">
            <v>NT-Server-CPU-ETC-09100</v>
          </cell>
          <cell r="C57" t="str">
            <v>Y</v>
          </cell>
          <cell r="D57" t="str">
            <v>A</v>
          </cell>
          <cell r="E57" t="str">
            <v>고객상담(일반)</v>
          </cell>
          <cell r="F57" t="str">
            <v>CMIS</v>
          </cell>
          <cell r="G57" t="str">
            <v>C/S</v>
          </cell>
          <cell r="H57" t="str">
            <v>구로 콜센터</v>
          </cell>
          <cell r="I57" t="str">
            <v>상담 통계,TBSC서버</v>
          </cell>
        </row>
        <row r="58">
          <cell r="A58" t="str">
            <v>IVR101</v>
          </cell>
          <cell r="B58" t="str">
            <v>NT-Server-CPU-ETC-09101</v>
          </cell>
          <cell r="C58" t="str">
            <v>Y</v>
          </cell>
          <cell r="D58" t="str">
            <v>A</v>
          </cell>
          <cell r="E58" t="str">
            <v>고객상담(일반)</v>
          </cell>
          <cell r="F58" t="str">
            <v>CMIS</v>
          </cell>
          <cell r="G58" t="str">
            <v>C/S</v>
          </cell>
          <cell r="H58" t="str">
            <v>구로 콜센터</v>
          </cell>
          <cell r="I58" t="str">
            <v>자동응답시스템</v>
          </cell>
        </row>
        <row r="59">
          <cell r="A59" t="str">
            <v>IVR102</v>
          </cell>
          <cell r="B59" t="str">
            <v>NT-Server-CPU-ETC-09102</v>
          </cell>
          <cell r="C59" t="str">
            <v>Y</v>
          </cell>
          <cell r="D59" t="str">
            <v>A</v>
          </cell>
          <cell r="E59" t="str">
            <v>고객상담(일반)</v>
          </cell>
          <cell r="F59" t="str">
            <v>CMIS</v>
          </cell>
          <cell r="G59" t="str">
            <v>C/S</v>
          </cell>
          <cell r="H59" t="str">
            <v>구로 콜센터</v>
          </cell>
          <cell r="I59" t="str">
            <v>자동응답시스템</v>
          </cell>
        </row>
        <row r="60">
          <cell r="A60" t="str">
            <v>IVR103</v>
          </cell>
          <cell r="B60" t="str">
            <v>NT-Server-CPU-ETC-09103</v>
          </cell>
          <cell r="C60" t="str">
            <v>Y</v>
          </cell>
          <cell r="D60" t="str">
            <v>A</v>
          </cell>
          <cell r="E60" t="str">
            <v>고객상담(일반)</v>
          </cell>
          <cell r="F60" t="str">
            <v>CMIS</v>
          </cell>
          <cell r="G60" t="str">
            <v>C/S</v>
          </cell>
          <cell r="H60" t="str">
            <v>구로 콜센터</v>
          </cell>
          <cell r="I60" t="str">
            <v>자동응답시스템</v>
          </cell>
        </row>
        <row r="61">
          <cell r="A61" t="str">
            <v>IVR104</v>
          </cell>
          <cell r="B61" t="str">
            <v>NT-Server-CPU-ETC-09104</v>
          </cell>
          <cell r="C61" t="str">
            <v>Y</v>
          </cell>
          <cell r="D61" t="str">
            <v>A</v>
          </cell>
          <cell r="E61" t="str">
            <v>고객상담(일반)</v>
          </cell>
          <cell r="F61" t="str">
            <v>CMIS</v>
          </cell>
          <cell r="G61" t="str">
            <v>C/S</v>
          </cell>
          <cell r="H61" t="str">
            <v>구로 콜센터</v>
          </cell>
          <cell r="I61" t="str">
            <v>자동응답시스템</v>
          </cell>
        </row>
        <row r="62">
          <cell r="A62" t="str">
            <v>IVR105</v>
          </cell>
          <cell r="B62" t="str">
            <v>NT-Server-CPU-ETC-09105</v>
          </cell>
          <cell r="C62" t="str">
            <v>Y</v>
          </cell>
          <cell r="D62" t="str">
            <v>A</v>
          </cell>
          <cell r="E62" t="str">
            <v>고객상담(일반)</v>
          </cell>
          <cell r="F62" t="str">
            <v>CMIS</v>
          </cell>
          <cell r="G62" t="str">
            <v>C/S</v>
          </cell>
          <cell r="H62" t="str">
            <v>구로 콜센터</v>
          </cell>
          <cell r="I62" t="str">
            <v>자동응답시스템</v>
          </cell>
        </row>
        <row r="63">
          <cell r="A63" t="str">
            <v>IVR106</v>
          </cell>
          <cell r="B63" t="str">
            <v>NT-Server-CPU-ETC-09106</v>
          </cell>
          <cell r="C63" t="str">
            <v>Y</v>
          </cell>
          <cell r="D63" t="str">
            <v>A</v>
          </cell>
          <cell r="E63" t="str">
            <v>고객상담(일반)</v>
          </cell>
          <cell r="F63" t="str">
            <v>CMIS</v>
          </cell>
          <cell r="G63" t="str">
            <v>C/S</v>
          </cell>
          <cell r="H63" t="str">
            <v>구로 콜센터</v>
          </cell>
          <cell r="I63" t="str">
            <v>자동응답시스템</v>
          </cell>
        </row>
        <row r="64">
          <cell r="A64" t="str">
            <v>IVR107</v>
          </cell>
          <cell r="B64" t="str">
            <v>NT-Server-CPU-ETC-09107</v>
          </cell>
          <cell r="C64" t="str">
            <v>Y</v>
          </cell>
          <cell r="D64" t="str">
            <v>A</v>
          </cell>
          <cell r="E64" t="str">
            <v>고객상담(일반)</v>
          </cell>
          <cell r="F64" t="str">
            <v>CMIS</v>
          </cell>
          <cell r="G64" t="str">
            <v>C/S</v>
          </cell>
          <cell r="H64" t="str">
            <v>구로 콜센터</v>
          </cell>
          <cell r="I64" t="str">
            <v>자동응답시스템</v>
          </cell>
        </row>
        <row r="65">
          <cell r="A65" t="str">
            <v>IVR108</v>
          </cell>
          <cell r="B65" t="str">
            <v>NT-Server-CPU-ETC-09108</v>
          </cell>
          <cell r="C65" t="str">
            <v>Y</v>
          </cell>
          <cell r="D65" t="str">
            <v>A</v>
          </cell>
          <cell r="E65" t="str">
            <v>고객상담(일반)</v>
          </cell>
          <cell r="F65" t="str">
            <v>CMIS</v>
          </cell>
          <cell r="G65" t="str">
            <v>C/S</v>
          </cell>
          <cell r="H65" t="str">
            <v>구로 콜센터</v>
          </cell>
          <cell r="I65" t="str">
            <v>자동응답시스템</v>
          </cell>
        </row>
        <row r="66">
          <cell r="A66" t="str">
            <v>IVR109</v>
          </cell>
          <cell r="B66" t="str">
            <v>NT-Server-CPU-ETC-09109</v>
          </cell>
          <cell r="C66" t="str">
            <v>Y</v>
          </cell>
          <cell r="D66" t="str">
            <v>A</v>
          </cell>
          <cell r="E66" t="str">
            <v>고객상담(일반)</v>
          </cell>
          <cell r="F66" t="str">
            <v>CMIS</v>
          </cell>
          <cell r="G66" t="str">
            <v>C/S</v>
          </cell>
          <cell r="H66" t="str">
            <v>구로 콜센터</v>
          </cell>
          <cell r="I66" t="str">
            <v>자동응답시스템</v>
          </cell>
        </row>
        <row r="67">
          <cell r="A67" t="str">
            <v>IVR110</v>
          </cell>
          <cell r="B67" t="str">
            <v>NT-Server-CPU-ETC-09110</v>
          </cell>
          <cell r="C67" t="str">
            <v>Y</v>
          </cell>
          <cell r="D67" t="str">
            <v>A</v>
          </cell>
          <cell r="E67" t="str">
            <v>고객상담(일반)</v>
          </cell>
          <cell r="F67" t="str">
            <v>CMIS</v>
          </cell>
          <cell r="G67" t="str">
            <v>C/S</v>
          </cell>
          <cell r="H67" t="str">
            <v>구로 콜센터</v>
          </cell>
          <cell r="I67" t="str">
            <v>자동응답시스템</v>
          </cell>
        </row>
        <row r="68">
          <cell r="A68" t="str">
            <v>IVRSVR2</v>
          </cell>
          <cell r="B68" t="str">
            <v>NT-Server-CPU-ETC-09111</v>
          </cell>
          <cell r="C68" t="str">
            <v>Y</v>
          </cell>
          <cell r="D68" t="str">
            <v>A</v>
          </cell>
          <cell r="E68" t="str">
            <v>고객상담(일반)</v>
          </cell>
          <cell r="F68" t="str">
            <v>CMIS</v>
          </cell>
          <cell r="G68" t="str">
            <v>C/S</v>
          </cell>
          <cell r="H68" t="str">
            <v>구로 콜센터</v>
          </cell>
          <cell r="I68" t="str">
            <v>미납 통계,TBSC서버</v>
          </cell>
        </row>
        <row r="69">
          <cell r="A69" t="str">
            <v>IVR121</v>
          </cell>
          <cell r="B69" t="str">
            <v>NT-Server-CPU-ETC-09112</v>
          </cell>
          <cell r="C69" t="str">
            <v>Y</v>
          </cell>
          <cell r="D69" t="str">
            <v>A</v>
          </cell>
          <cell r="E69" t="str">
            <v>고객상담(일반)</v>
          </cell>
          <cell r="F69" t="str">
            <v>CMIS</v>
          </cell>
          <cell r="G69" t="str">
            <v>C/S</v>
          </cell>
          <cell r="H69" t="str">
            <v>구로 콜센터</v>
          </cell>
          <cell r="I69" t="str">
            <v>자동응답시스템</v>
          </cell>
        </row>
        <row r="70">
          <cell r="A70" t="str">
            <v>IVR122</v>
          </cell>
          <cell r="B70" t="str">
            <v>NT-Server-CPU-ETC-09113</v>
          </cell>
          <cell r="C70" t="str">
            <v>Y</v>
          </cell>
          <cell r="D70" t="str">
            <v>A</v>
          </cell>
          <cell r="E70" t="str">
            <v>고객상담(일반)</v>
          </cell>
          <cell r="F70" t="str">
            <v>CMIS</v>
          </cell>
          <cell r="G70" t="str">
            <v>C/S</v>
          </cell>
          <cell r="H70" t="str">
            <v>구로 콜센터</v>
          </cell>
          <cell r="I70" t="str">
            <v>자동응답시스템</v>
          </cell>
        </row>
        <row r="71">
          <cell r="A71" t="str">
            <v>RECSVR1</v>
          </cell>
          <cell r="B71" t="str">
            <v>NT-Server-CPU-ETC-09114</v>
          </cell>
          <cell r="C71" t="str">
            <v>Y</v>
          </cell>
          <cell r="D71" t="str">
            <v>A</v>
          </cell>
          <cell r="E71" t="str">
            <v>고객상담(일반)</v>
          </cell>
          <cell r="F71" t="str">
            <v>CMIS</v>
          </cell>
          <cell r="G71" t="str">
            <v>C/S</v>
          </cell>
          <cell r="H71" t="str">
            <v>구로 콜센터</v>
          </cell>
          <cell r="I71" t="str">
            <v>상담내역 녹음 File Server</v>
          </cell>
        </row>
        <row r="72">
          <cell r="A72" t="str">
            <v>RECSVR2</v>
          </cell>
          <cell r="B72" t="str">
            <v>NT-Server-CPU-ETC-09115</v>
          </cell>
          <cell r="C72" t="str">
            <v>Y</v>
          </cell>
          <cell r="D72" t="str">
            <v>A</v>
          </cell>
          <cell r="E72" t="str">
            <v>고객상담(일반)</v>
          </cell>
          <cell r="F72" t="str">
            <v>CMIS</v>
          </cell>
          <cell r="G72" t="str">
            <v>C/S</v>
          </cell>
          <cell r="H72" t="str">
            <v>구로 콜센터</v>
          </cell>
          <cell r="I72" t="str">
            <v>상담내역 녹음 File Server</v>
          </cell>
        </row>
        <row r="73">
          <cell r="A73" t="str">
            <v>RECSVR3</v>
          </cell>
          <cell r="B73" t="str">
            <v>NT-Server-CPU-ETC-09116</v>
          </cell>
          <cell r="C73" t="str">
            <v>Y</v>
          </cell>
          <cell r="D73" t="str">
            <v>A</v>
          </cell>
          <cell r="E73" t="str">
            <v>고객상담(일반)</v>
          </cell>
          <cell r="F73" t="str">
            <v>CMIS</v>
          </cell>
          <cell r="G73" t="str">
            <v>C/S</v>
          </cell>
          <cell r="H73" t="str">
            <v>구로 콜센터</v>
          </cell>
          <cell r="I73" t="str">
            <v>상담내역 녹음 File Server</v>
          </cell>
        </row>
        <row r="74">
          <cell r="A74" t="str">
            <v>REC1-1</v>
          </cell>
          <cell r="B74" t="str">
            <v>NT-Server-CPU-ETC-09117</v>
          </cell>
          <cell r="C74" t="str">
            <v>Y</v>
          </cell>
          <cell r="D74" t="str">
            <v>A</v>
          </cell>
          <cell r="E74" t="str">
            <v>고객상담(일반)</v>
          </cell>
          <cell r="F74" t="str">
            <v>CMIS</v>
          </cell>
          <cell r="G74" t="str">
            <v>C/S</v>
          </cell>
          <cell r="H74" t="str">
            <v>구로 콜센터</v>
          </cell>
          <cell r="I74" t="str">
            <v>상담내역 녹음</v>
          </cell>
        </row>
        <row r="75">
          <cell r="A75" t="str">
            <v>REC1-2</v>
          </cell>
          <cell r="B75" t="str">
            <v>NT-Server-CPU-ETC-09118</v>
          </cell>
          <cell r="C75" t="str">
            <v>Y</v>
          </cell>
          <cell r="D75" t="str">
            <v>A</v>
          </cell>
          <cell r="E75" t="str">
            <v>고객상담(일반)</v>
          </cell>
          <cell r="F75" t="str">
            <v>CMIS</v>
          </cell>
          <cell r="G75" t="str">
            <v>C/S</v>
          </cell>
          <cell r="H75" t="str">
            <v>구로 콜센터</v>
          </cell>
          <cell r="I75" t="str">
            <v>상담내역 녹음</v>
          </cell>
        </row>
        <row r="76">
          <cell r="A76" t="str">
            <v>REC1-3</v>
          </cell>
          <cell r="B76" t="str">
            <v>NT-Server-CPU-ETC-09119</v>
          </cell>
          <cell r="C76" t="str">
            <v>Y</v>
          </cell>
          <cell r="D76" t="str">
            <v>A</v>
          </cell>
          <cell r="E76" t="str">
            <v>고객상담(일반)</v>
          </cell>
          <cell r="F76" t="str">
            <v>CMIS</v>
          </cell>
          <cell r="G76" t="str">
            <v>C/S</v>
          </cell>
          <cell r="H76" t="str">
            <v>구로 콜센터</v>
          </cell>
          <cell r="I76" t="str">
            <v>상담내역 녹음</v>
          </cell>
        </row>
        <row r="77">
          <cell r="A77" t="str">
            <v>REC2-1</v>
          </cell>
          <cell r="B77" t="str">
            <v>NT-Server-CPU-ETC-09120</v>
          </cell>
          <cell r="C77" t="str">
            <v>Y</v>
          </cell>
          <cell r="D77" t="str">
            <v>A</v>
          </cell>
          <cell r="E77" t="str">
            <v>고객상담(일반)</v>
          </cell>
          <cell r="F77" t="str">
            <v>CMIS</v>
          </cell>
          <cell r="G77" t="str">
            <v>C/S</v>
          </cell>
          <cell r="H77" t="str">
            <v>구로 콜센터</v>
          </cell>
          <cell r="I77" t="str">
            <v>상담내역 녹음</v>
          </cell>
        </row>
        <row r="78">
          <cell r="A78" t="str">
            <v>REC2-2</v>
          </cell>
          <cell r="B78" t="str">
            <v>NT-Server-CPU-ETC-09121</v>
          </cell>
          <cell r="C78" t="str">
            <v>Y</v>
          </cell>
          <cell r="D78" t="str">
            <v>A</v>
          </cell>
          <cell r="E78" t="str">
            <v>고객상담(일반)</v>
          </cell>
          <cell r="F78" t="str">
            <v>CMIS</v>
          </cell>
          <cell r="G78" t="str">
            <v>C/S</v>
          </cell>
          <cell r="H78" t="str">
            <v>구로 콜센터</v>
          </cell>
          <cell r="I78" t="str">
            <v>상담내역 녹음</v>
          </cell>
        </row>
        <row r="79">
          <cell r="A79" t="str">
            <v>REC2-3</v>
          </cell>
          <cell r="B79" t="str">
            <v>NT-Server-CPU-ETC-09122</v>
          </cell>
          <cell r="C79" t="str">
            <v>Y</v>
          </cell>
          <cell r="D79" t="str">
            <v>A</v>
          </cell>
          <cell r="E79" t="str">
            <v>고객상담(일반)</v>
          </cell>
          <cell r="F79" t="str">
            <v>CMIS</v>
          </cell>
          <cell r="G79" t="str">
            <v>C/S</v>
          </cell>
          <cell r="H79" t="str">
            <v>구로 콜센터</v>
          </cell>
          <cell r="I79" t="str">
            <v>상담내역 녹음</v>
          </cell>
        </row>
        <row r="80">
          <cell r="A80" t="str">
            <v>REC3-1</v>
          </cell>
          <cell r="B80" t="str">
            <v>NT-Server-CPU-ETC-09123</v>
          </cell>
          <cell r="C80" t="str">
            <v>Y</v>
          </cell>
          <cell r="D80" t="str">
            <v>A</v>
          </cell>
          <cell r="E80" t="str">
            <v>고객상담(일반)</v>
          </cell>
          <cell r="F80" t="str">
            <v>CMIS</v>
          </cell>
          <cell r="G80" t="str">
            <v>C/S</v>
          </cell>
          <cell r="H80" t="str">
            <v>구로 콜센터</v>
          </cell>
          <cell r="I80" t="str">
            <v>상담내역 녹음</v>
          </cell>
        </row>
        <row r="81">
          <cell r="A81" t="str">
            <v>REC3-2</v>
          </cell>
          <cell r="B81" t="str">
            <v>NT-Server-CPU-ETC-09124</v>
          </cell>
          <cell r="C81" t="str">
            <v>Y</v>
          </cell>
          <cell r="D81" t="str">
            <v>A</v>
          </cell>
          <cell r="E81" t="str">
            <v>고객상담(일반)</v>
          </cell>
          <cell r="F81" t="str">
            <v>CMIS</v>
          </cell>
          <cell r="G81" t="str">
            <v>C/S</v>
          </cell>
          <cell r="H81" t="str">
            <v>구로 콜센터</v>
          </cell>
          <cell r="I81" t="str">
            <v>상담내역 녹음</v>
          </cell>
        </row>
        <row r="82">
          <cell r="A82" t="str">
            <v>REC3-3</v>
          </cell>
          <cell r="B82" t="str">
            <v>NT-Server-CPU-ETC-09125</v>
          </cell>
          <cell r="C82" t="str">
            <v>Y</v>
          </cell>
          <cell r="D82" t="str">
            <v>A</v>
          </cell>
          <cell r="E82" t="str">
            <v>고객상담(일반)</v>
          </cell>
          <cell r="F82" t="str">
            <v>CMIS</v>
          </cell>
          <cell r="G82" t="str">
            <v>C/S</v>
          </cell>
          <cell r="H82" t="str">
            <v>구로 콜센터</v>
          </cell>
          <cell r="I82" t="str">
            <v>상담내역 녹음</v>
          </cell>
        </row>
        <row r="83">
          <cell r="A83" t="str">
            <v>RECSVR4</v>
          </cell>
          <cell r="B83" t="str">
            <v>NT-Server-CPU-ETC-09126</v>
          </cell>
          <cell r="C83" t="str">
            <v>Y</v>
          </cell>
          <cell r="D83" t="str">
            <v>A</v>
          </cell>
          <cell r="E83" t="str">
            <v>고객상담(일반)</v>
          </cell>
          <cell r="F83" t="str">
            <v>CMIS</v>
          </cell>
          <cell r="G83" t="str">
            <v>C/S</v>
          </cell>
          <cell r="H83" t="str">
            <v>구로 콜센터</v>
          </cell>
          <cell r="I83" t="str">
            <v>상담내역 녹음 File Server</v>
          </cell>
        </row>
        <row r="84">
          <cell r="A84" t="str">
            <v>REC4-1</v>
          </cell>
          <cell r="B84" t="str">
            <v>NT-Server-CPU-ETC-09127</v>
          </cell>
          <cell r="C84" t="str">
            <v>Y</v>
          </cell>
          <cell r="D84" t="str">
            <v>A</v>
          </cell>
          <cell r="E84" t="str">
            <v>고객상담(일반)</v>
          </cell>
          <cell r="F84" t="str">
            <v>CMIS</v>
          </cell>
          <cell r="G84" t="str">
            <v>C/S</v>
          </cell>
          <cell r="H84" t="str">
            <v>구로 콜센터</v>
          </cell>
          <cell r="I84" t="str">
            <v>상담내역 녹음</v>
          </cell>
        </row>
        <row r="85">
          <cell r="A85" t="str">
            <v>REC4-2</v>
          </cell>
          <cell r="B85" t="str">
            <v>NT-Server-CPU-ETC-09128</v>
          </cell>
          <cell r="C85" t="str">
            <v>Y</v>
          </cell>
          <cell r="D85" t="str">
            <v>A</v>
          </cell>
          <cell r="E85" t="str">
            <v>고객상담(일반)</v>
          </cell>
          <cell r="F85" t="str">
            <v>CMIS</v>
          </cell>
          <cell r="G85" t="str">
            <v>C/S</v>
          </cell>
          <cell r="H85" t="str">
            <v>구로 콜센터</v>
          </cell>
          <cell r="I85" t="str">
            <v>상담내역 녹음</v>
          </cell>
        </row>
        <row r="86">
          <cell r="A86" t="str">
            <v>REC4-3</v>
          </cell>
          <cell r="B86" t="str">
            <v>NT-Server-CPU-ETC-09129</v>
          </cell>
          <cell r="C86" t="str">
            <v>Y</v>
          </cell>
          <cell r="D86" t="str">
            <v>A</v>
          </cell>
          <cell r="E86" t="str">
            <v>고객상담(일반)</v>
          </cell>
          <cell r="F86" t="str">
            <v>CMIS</v>
          </cell>
          <cell r="G86" t="str">
            <v>C/S</v>
          </cell>
          <cell r="H86" t="str">
            <v>구로 콜센터</v>
          </cell>
          <cell r="I86" t="str">
            <v>상담내역 녹음</v>
          </cell>
        </row>
        <row r="87">
          <cell r="A87" t="str">
            <v>FAX1</v>
          </cell>
          <cell r="B87" t="str">
            <v>NT-Server-CPU-ETC-09130</v>
          </cell>
          <cell r="C87" t="str">
            <v>Y</v>
          </cell>
          <cell r="D87" t="str">
            <v>A</v>
          </cell>
          <cell r="E87" t="str">
            <v>고객상담(일반)</v>
          </cell>
          <cell r="F87" t="str">
            <v>CMIS</v>
          </cell>
          <cell r="G87" t="str">
            <v>C/S</v>
          </cell>
          <cell r="H87" t="str">
            <v>구로 콜센터</v>
          </cell>
          <cell r="I87" t="str">
            <v>FAX 보내기(상담)</v>
          </cell>
        </row>
        <row r="88">
          <cell r="A88" t="str">
            <v>FAX2</v>
          </cell>
          <cell r="B88" t="str">
            <v>NT-Server-CPU-ETC-09131</v>
          </cell>
          <cell r="C88" t="str">
            <v>Y</v>
          </cell>
          <cell r="D88" t="str">
            <v>A</v>
          </cell>
          <cell r="E88" t="str">
            <v>고객상담(일반)</v>
          </cell>
          <cell r="F88" t="str">
            <v>CMIS</v>
          </cell>
          <cell r="G88" t="str">
            <v>C/S</v>
          </cell>
          <cell r="H88" t="str">
            <v>구로 콜센터</v>
          </cell>
          <cell r="I88" t="str">
            <v>FAX 보내기(상담)</v>
          </cell>
        </row>
        <row r="89">
          <cell r="A89" t="str">
            <v>FAX3</v>
          </cell>
          <cell r="B89" t="str">
            <v>NT-Server-CPU-ETC-09132</v>
          </cell>
          <cell r="C89" t="str">
            <v>Y</v>
          </cell>
          <cell r="D89" t="str">
            <v>A</v>
          </cell>
          <cell r="E89" t="str">
            <v>고객상담(일반)</v>
          </cell>
          <cell r="F89" t="str">
            <v>CMIS</v>
          </cell>
          <cell r="G89" t="str">
            <v>C/S</v>
          </cell>
          <cell r="H89" t="str">
            <v>구로 콜센터</v>
          </cell>
          <cell r="I89" t="str">
            <v>FAX 보내기(상담)</v>
          </cell>
        </row>
        <row r="90">
          <cell r="A90" t="str">
            <v>SMFAX_SVR1</v>
          </cell>
          <cell r="B90" t="str">
            <v>NT-Server-CPU-ETC-09133</v>
          </cell>
          <cell r="C90" t="str">
            <v>Y</v>
          </cell>
          <cell r="D90" t="str">
            <v>A</v>
          </cell>
          <cell r="E90" t="str">
            <v>고객상담(일반)</v>
          </cell>
          <cell r="F90" t="str">
            <v>CMIS</v>
          </cell>
          <cell r="G90" t="str">
            <v>C/S</v>
          </cell>
          <cell r="H90" t="str">
            <v>구로 콜센터</v>
          </cell>
          <cell r="I90" t="str">
            <v>FAX 보내기(미납)</v>
          </cell>
        </row>
        <row r="91">
          <cell r="A91" t="str">
            <v>SMFAX_SVR2</v>
          </cell>
          <cell r="B91" t="str">
            <v>NT-Server-CPU-ETC-09134</v>
          </cell>
          <cell r="C91" t="str">
            <v>Y</v>
          </cell>
          <cell r="D91" t="str">
            <v>A</v>
          </cell>
          <cell r="E91" t="str">
            <v>고객상담(일반)</v>
          </cell>
          <cell r="F91" t="str">
            <v>CMIS</v>
          </cell>
          <cell r="G91" t="str">
            <v>C/S</v>
          </cell>
          <cell r="H91" t="str">
            <v>구로 콜센터</v>
          </cell>
          <cell r="I91" t="str">
            <v>FAX 보내기(미납)</v>
          </cell>
        </row>
        <row r="92">
          <cell r="A92" t="str">
            <v>IVR</v>
          </cell>
          <cell r="B92" t="str">
            <v>NT-Server-CPU-ETC-09140</v>
          </cell>
          <cell r="C92" t="str">
            <v>Y</v>
          </cell>
          <cell r="D92" t="str">
            <v>A</v>
          </cell>
          <cell r="E92" t="str">
            <v>고객상담(일반)</v>
          </cell>
          <cell r="F92" t="str">
            <v>CMIS</v>
          </cell>
          <cell r="G92" t="str">
            <v>C/S</v>
          </cell>
          <cell r="H92" t="str">
            <v>구로 콜센터</v>
          </cell>
          <cell r="I92" t="str">
            <v>Market Reserch</v>
          </cell>
        </row>
        <row r="93">
          <cell r="A93" t="str">
            <v>10CMISACS_SVR</v>
          </cell>
          <cell r="B93" t="str">
            <v>NT-Server-CPU-ETC-09141</v>
          </cell>
          <cell r="C93" t="str">
            <v>Y</v>
          </cell>
          <cell r="D93" t="str">
            <v>A</v>
          </cell>
          <cell r="E93" t="str">
            <v>고객상담(일반)</v>
          </cell>
          <cell r="F93" t="str">
            <v>CMIS</v>
          </cell>
          <cell r="G93" t="str">
            <v>C/S</v>
          </cell>
          <cell r="H93" t="str">
            <v>구로 콜센터</v>
          </cell>
          <cell r="I93" t="str">
            <v>상담 ACS 서버</v>
          </cell>
        </row>
        <row r="94">
          <cell r="A94" t="str">
            <v>CMISACS101</v>
          </cell>
          <cell r="B94" t="str">
            <v>NT-Server-CPU-ETC-09142</v>
          </cell>
          <cell r="C94" t="str">
            <v>Y</v>
          </cell>
          <cell r="D94" t="str">
            <v>A</v>
          </cell>
          <cell r="E94" t="str">
            <v>고객상담(일반)</v>
          </cell>
          <cell r="F94" t="str">
            <v>CMIS</v>
          </cell>
          <cell r="G94" t="str">
            <v>C/S</v>
          </cell>
          <cell r="H94" t="str">
            <v>구로 콜센터</v>
          </cell>
          <cell r="I94" t="str">
            <v>상담 ACS</v>
          </cell>
        </row>
        <row r="95">
          <cell r="A95" t="str">
            <v>CMISACS102</v>
          </cell>
          <cell r="B95" t="str">
            <v>NT-Server-CPU-ETC-09143</v>
          </cell>
          <cell r="C95" t="str">
            <v>Y</v>
          </cell>
          <cell r="D95" t="str">
            <v>A</v>
          </cell>
          <cell r="E95" t="str">
            <v>고객상담(일반)</v>
          </cell>
          <cell r="F95" t="str">
            <v>CMIS</v>
          </cell>
          <cell r="G95" t="str">
            <v>C/S</v>
          </cell>
          <cell r="H95" t="str">
            <v>구로 콜센터</v>
          </cell>
          <cell r="I95" t="str">
            <v>상담 ACS</v>
          </cell>
        </row>
        <row r="96">
          <cell r="A96" t="str">
            <v>IVRSVR400</v>
          </cell>
          <cell r="B96" t="str">
            <v>NT-Server-CPU-ETC-09200</v>
          </cell>
          <cell r="C96" t="str">
            <v>Y</v>
          </cell>
          <cell r="D96" t="str">
            <v>A</v>
          </cell>
          <cell r="E96" t="str">
            <v>고객상담(일반)</v>
          </cell>
          <cell r="F96" t="str">
            <v>CMIS</v>
          </cell>
          <cell r="G96" t="str">
            <v>C/S</v>
          </cell>
          <cell r="H96" t="str">
            <v>광주 콜센터</v>
          </cell>
          <cell r="I96" t="str">
            <v>통계,TBSC 서버</v>
          </cell>
        </row>
        <row r="97">
          <cell r="A97" t="str">
            <v>IVR401</v>
          </cell>
          <cell r="B97" t="str">
            <v>NT-Server-CPU-ETC-09201</v>
          </cell>
          <cell r="C97" t="str">
            <v>Y</v>
          </cell>
          <cell r="D97" t="str">
            <v>A</v>
          </cell>
          <cell r="E97" t="str">
            <v>고객상담(일반)</v>
          </cell>
          <cell r="F97" t="str">
            <v>CMIS</v>
          </cell>
          <cell r="G97" t="str">
            <v>C/S</v>
          </cell>
          <cell r="H97" t="str">
            <v>광주 콜센터</v>
          </cell>
          <cell r="I97" t="str">
            <v>자동응답시스템</v>
          </cell>
        </row>
        <row r="98">
          <cell r="A98" t="str">
            <v>IVR402</v>
          </cell>
          <cell r="B98" t="str">
            <v>NT-Server-CPU-ETC-09202</v>
          </cell>
          <cell r="C98" t="str">
            <v>Y</v>
          </cell>
          <cell r="D98" t="str">
            <v>A</v>
          </cell>
          <cell r="E98" t="str">
            <v>고객상담(일반)</v>
          </cell>
          <cell r="F98" t="str">
            <v>CMIS</v>
          </cell>
          <cell r="G98" t="str">
            <v>C/S</v>
          </cell>
          <cell r="H98" t="str">
            <v>광주 콜센터</v>
          </cell>
          <cell r="I98" t="str">
            <v>자동응답시스템</v>
          </cell>
        </row>
        <row r="99">
          <cell r="A99" t="str">
            <v>IVR403</v>
          </cell>
          <cell r="B99" t="str">
            <v>NT-Server-CPU-ETC-09203</v>
          </cell>
          <cell r="C99" t="str">
            <v>Y</v>
          </cell>
          <cell r="D99" t="str">
            <v>A</v>
          </cell>
          <cell r="E99" t="str">
            <v>고객상담(일반)</v>
          </cell>
          <cell r="F99" t="str">
            <v>CMIS</v>
          </cell>
          <cell r="G99" t="str">
            <v>C/S</v>
          </cell>
          <cell r="H99" t="str">
            <v>광주 콜센터</v>
          </cell>
          <cell r="I99" t="str">
            <v>자동응답시스템</v>
          </cell>
        </row>
        <row r="100">
          <cell r="A100" t="str">
            <v>SBREC_SVR_01</v>
          </cell>
          <cell r="B100" t="str">
            <v>NT-Server-CPU-ETC-09204</v>
          </cell>
          <cell r="C100" t="str">
            <v>Y</v>
          </cell>
          <cell r="D100" t="str">
            <v>A</v>
          </cell>
          <cell r="E100" t="str">
            <v>고객상담(일반)</v>
          </cell>
          <cell r="F100" t="str">
            <v>CMIS</v>
          </cell>
          <cell r="G100" t="str">
            <v>C/S</v>
          </cell>
          <cell r="H100" t="str">
            <v>광주 콜센터</v>
          </cell>
          <cell r="I100" t="str">
            <v>상담내역 녹음 File 서버</v>
          </cell>
        </row>
        <row r="101">
          <cell r="A101" t="str">
            <v>SBREC_SVR_02</v>
          </cell>
          <cell r="B101" t="str">
            <v>NT-Server-CPU-ETC-09205</v>
          </cell>
          <cell r="C101" t="str">
            <v>Y</v>
          </cell>
          <cell r="D101" t="str">
            <v>A</v>
          </cell>
          <cell r="E101" t="str">
            <v>고객상담(일반)</v>
          </cell>
          <cell r="F101" t="str">
            <v>CMIS</v>
          </cell>
          <cell r="G101" t="str">
            <v>C/S</v>
          </cell>
          <cell r="H101" t="str">
            <v>광주 콜센터</v>
          </cell>
          <cell r="I101" t="str">
            <v>상담내역 녹음 File 서버</v>
          </cell>
        </row>
        <row r="102">
          <cell r="A102" t="str">
            <v>SBREC_CLI_01</v>
          </cell>
          <cell r="B102" t="str">
            <v>NT-Server-CPU-ETC-09206</v>
          </cell>
          <cell r="C102" t="str">
            <v>Y</v>
          </cell>
          <cell r="D102" t="str">
            <v>A</v>
          </cell>
          <cell r="E102" t="str">
            <v>고객상담(일반)</v>
          </cell>
          <cell r="F102" t="str">
            <v>CMIS</v>
          </cell>
          <cell r="G102" t="str">
            <v>C/S</v>
          </cell>
          <cell r="H102" t="str">
            <v>광주 콜센터</v>
          </cell>
          <cell r="I102" t="str">
            <v>상담내역 녹음</v>
          </cell>
        </row>
        <row r="103">
          <cell r="A103" t="str">
            <v>SBREC_CLI_02</v>
          </cell>
          <cell r="B103" t="str">
            <v>NT-Server-CPU-ETC-09207</v>
          </cell>
          <cell r="C103" t="str">
            <v>Y</v>
          </cell>
          <cell r="D103" t="str">
            <v>A</v>
          </cell>
          <cell r="E103" t="str">
            <v>고객상담(일반)</v>
          </cell>
          <cell r="F103" t="str">
            <v>CMIS</v>
          </cell>
          <cell r="G103" t="str">
            <v>C/S</v>
          </cell>
          <cell r="H103" t="str">
            <v>광주 콜센터</v>
          </cell>
          <cell r="I103" t="str">
            <v>상담내역 녹음</v>
          </cell>
        </row>
        <row r="104">
          <cell r="A104" t="str">
            <v>SBREC_CLI_03</v>
          </cell>
          <cell r="B104" t="str">
            <v>NT-Server-CPU-ETC-09208</v>
          </cell>
          <cell r="C104" t="str">
            <v>Y</v>
          </cell>
          <cell r="D104" t="str">
            <v>A</v>
          </cell>
          <cell r="E104" t="str">
            <v>고객상담(일반)</v>
          </cell>
          <cell r="F104" t="str">
            <v>CMIS</v>
          </cell>
          <cell r="G104" t="str">
            <v>C/S</v>
          </cell>
          <cell r="H104" t="str">
            <v>광주 콜센터</v>
          </cell>
          <cell r="I104" t="str">
            <v>상담내역 녹음</v>
          </cell>
        </row>
        <row r="105">
          <cell r="A105" t="str">
            <v>SBREC_CLI_04</v>
          </cell>
          <cell r="B105" t="str">
            <v>NT-Server-CPU-ETC-09209</v>
          </cell>
          <cell r="C105" t="str">
            <v>Y</v>
          </cell>
          <cell r="D105" t="str">
            <v>A</v>
          </cell>
          <cell r="E105" t="str">
            <v>고객상담(일반)</v>
          </cell>
          <cell r="F105" t="str">
            <v>CMIS</v>
          </cell>
          <cell r="G105" t="str">
            <v>C/S</v>
          </cell>
          <cell r="H105" t="str">
            <v>광주 콜센터</v>
          </cell>
          <cell r="I105" t="str">
            <v>상담내역 녹음</v>
          </cell>
        </row>
        <row r="106">
          <cell r="A106" t="str">
            <v>SBREC_CLI_05</v>
          </cell>
          <cell r="B106" t="str">
            <v>NT-Server-CPU-ETC-09210</v>
          </cell>
          <cell r="C106" t="str">
            <v>Y</v>
          </cell>
          <cell r="D106" t="str">
            <v>A</v>
          </cell>
          <cell r="E106" t="str">
            <v>고객상담(일반)</v>
          </cell>
          <cell r="F106" t="str">
            <v>CMIS</v>
          </cell>
          <cell r="G106" t="str">
            <v>C/S</v>
          </cell>
          <cell r="H106" t="str">
            <v>광주 콜센터</v>
          </cell>
          <cell r="I106" t="str">
            <v>현재 미사용</v>
          </cell>
        </row>
        <row r="107">
          <cell r="A107" t="str">
            <v>SBFAX_SVR_01</v>
          </cell>
          <cell r="B107" t="str">
            <v>NT-Server-CPU-ETC-09211</v>
          </cell>
          <cell r="C107" t="str">
            <v>Y</v>
          </cell>
          <cell r="D107" t="str">
            <v>A</v>
          </cell>
          <cell r="E107" t="str">
            <v>고객상담(일반)</v>
          </cell>
          <cell r="F107" t="str">
            <v>CMIS</v>
          </cell>
          <cell r="G107" t="str">
            <v>C/S</v>
          </cell>
          <cell r="H107" t="str">
            <v>광주 콜센터</v>
          </cell>
          <cell r="I107" t="str">
            <v>Fax 보내기</v>
          </cell>
        </row>
        <row r="108">
          <cell r="A108" t="str">
            <v>SBFAX_SVR_02</v>
          </cell>
          <cell r="B108" t="str">
            <v>NT-Server-CPU-ETC-09212</v>
          </cell>
          <cell r="C108" t="str">
            <v>Y</v>
          </cell>
          <cell r="D108" t="str">
            <v>A</v>
          </cell>
          <cell r="E108" t="str">
            <v>고객상담(일반)</v>
          </cell>
          <cell r="F108" t="str">
            <v>CMIS</v>
          </cell>
          <cell r="G108" t="str">
            <v>C/S</v>
          </cell>
          <cell r="H108" t="str">
            <v>광주 콜센터</v>
          </cell>
          <cell r="I108" t="str">
            <v>Fax 보내기</v>
          </cell>
        </row>
        <row r="109">
          <cell r="A109" t="str">
            <v>40CMISACS_SVR</v>
          </cell>
          <cell r="B109" t="str">
            <v>NT-Server-CPU-ETC-09213</v>
          </cell>
          <cell r="C109" t="str">
            <v>Y</v>
          </cell>
          <cell r="D109" t="str">
            <v>A</v>
          </cell>
          <cell r="E109" t="str">
            <v>고객상담(일반)</v>
          </cell>
          <cell r="F109" t="str">
            <v>CMIS</v>
          </cell>
          <cell r="G109" t="str">
            <v>C/S</v>
          </cell>
          <cell r="H109" t="str">
            <v>광주 콜센터</v>
          </cell>
          <cell r="I109" t="str">
            <v>상담 ACS 서버</v>
          </cell>
        </row>
        <row r="110">
          <cell r="A110" t="str">
            <v>CMISACS401</v>
          </cell>
          <cell r="B110" t="str">
            <v>NT-Server-CPU-ETC-09214</v>
          </cell>
          <cell r="C110" t="str">
            <v>Y</v>
          </cell>
          <cell r="D110" t="str">
            <v>A</v>
          </cell>
          <cell r="E110" t="str">
            <v>고객상담(일반)</v>
          </cell>
          <cell r="F110" t="str">
            <v>CMIS</v>
          </cell>
          <cell r="G110" t="str">
            <v>C/S</v>
          </cell>
          <cell r="H110" t="str">
            <v>광주 콜센터</v>
          </cell>
          <cell r="I110" t="str">
            <v>상담 ACS</v>
          </cell>
        </row>
        <row r="111">
          <cell r="A111" t="str">
            <v>IVRSVR</v>
          </cell>
          <cell r="B111" t="str">
            <v>NT-Server-CPU-ETC-09300</v>
          </cell>
          <cell r="C111" t="str">
            <v>Y</v>
          </cell>
          <cell r="D111" t="str">
            <v>A</v>
          </cell>
          <cell r="E111" t="str">
            <v>고객상담(일반)</v>
          </cell>
          <cell r="F111" t="str">
            <v>CMIS</v>
          </cell>
          <cell r="G111" t="str">
            <v>C/S</v>
          </cell>
          <cell r="H111" t="str">
            <v>대구 콜센터</v>
          </cell>
          <cell r="I111" t="str">
            <v>통계,TBSC 서버</v>
          </cell>
        </row>
        <row r="112">
          <cell r="A112" t="str">
            <v>IVR301</v>
          </cell>
          <cell r="B112" t="str">
            <v>NT-Server-CPU-ETC-09301</v>
          </cell>
          <cell r="C112" t="str">
            <v>Y</v>
          </cell>
          <cell r="D112" t="str">
            <v>A</v>
          </cell>
          <cell r="E112" t="str">
            <v>고객상담(일반)</v>
          </cell>
          <cell r="F112" t="str">
            <v>CMIS</v>
          </cell>
          <cell r="G112" t="str">
            <v>C/S</v>
          </cell>
          <cell r="H112" t="str">
            <v>대구 콜센터</v>
          </cell>
          <cell r="I112" t="str">
            <v>자동응답시스템</v>
          </cell>
        </row>
        <row r="113">
          <cell r="A113" t="str">
            <v>IVR302</v>
          </cell>
          <cell r="B113" t="str">
            <v>NT-Server-CPU-ETC-09302</v>
          </cell>
          <cell r="C113" t="str">
            <v>Y</v>
          </cell>
          <cell r="D113" t="str">
            <v>A</v>
          </cell>
          <cell r="E113" t="str">
            <v>고객상담(일반)</v>
          </cell>
          <cell r="F113" t="str">
            <v>CMIS</v>
          </cell>
          <cell r="G113" t="str">
            <v>C/S</v>
          </cell>
          <cell r="H113" t="str">
            <v>대구 콜센터</v>
          </cell>
          <cell r="I113" t="str">
            <v>자동응답시스템</v>
          </cell>
        </row>
        <row r="114">
          <cell r="A114" t="str">
            <v>RECSVR</v>
          </cell>
          <cell r="B114" t="str">
            <v>NT-Server-CPU-ETC-09303</v>
          </cell>
          <cell r="C114" t="str">
            <v>Y</v>
          </cell>
          <cell r="D114" t="str">
            <v>A</v>
          </cell>
          <cell r="E114" t="str">
            <v>고객상담(일반)</v>
          </cell>
          <cell r="F114" t="str">
            <v>CMIS</v>
          </cell>
          <cell r="G114" t="str">
            <v>C/S</v>
          </cell>
          <cell r="H114" t="str">
            <v>대구 콜센터</v>
          </cell>
          <cell r="I114" t="str">
            <v>상담내역 녹음 File 서버</v>
          </cell>
        </row>
        <row r="115">
          <cell r="A115" t="str">
            <v>REC1</v>
          </cell>
          <cell r="B115" t="str">
            <v>NT-Server-CPU-ETC-09304</v>
          </cell>
          <cell r="C115" t="str">
            <v>Y</v>
          </cell>
          <cell r="D115" t="str">
            <v>A</v>
          </cell>
          <cell r="E115" t="str">
            <v>고객상담(일반)</v>
          </cell>
          <cell r="F115" t="str">
            <v>CMIS</v>
          </cell>
          <cell r="G115" t="str">
            <v>C/S</v>
          </cell>
          <cell r="H115" t="str">
            <v>대구 콜센터</v>
          </cell>
          <cell r="I115" t="str">
            <v>상담내역 녹음</v>
          </cell>
        </row>
        <row r="116">
          <cell r="A116" t="str">
            <v>REC2</v>
          </cell>
          <cell r="B116" t="str">
            <v>NT-Server-CPU-ETC-09305</v>
          </cell>
          <cell r="C116" t="str">
            <v>Y</v>
          </cell>
          <cell r="D116" t="str">
            <v>A</v>
          </cell>
          <cell r="E116" t="str">
            <v>고객상담(일반)</v>
          </cell>
          <cell r="F116" t="str">
            <v>CMIS</v>
          </cell>
          <cell r="G116" t="str">
            <v>C/S</v>
          </cell>
          <cell r="H116" t="str">
            <v>대구 콜센터</v>
          </cell>
          <cell r="I116" t="str">
            <v>상담내역 녹음</v>
          </cell>
        </row>
        <row r="117">
          <cell r="A117" t="str">
            <v>REC3</v>
          </cell>
          <cell r="B117" t="str">
            <v>NT-Server-CPU-ETC-09306</v>
          </cell>
          <cell r="C117" t="str">
            <v>Y</v>
          </cell>
          <cell r="D117" t="str">
            <v>A</v>
          </cell>
          <cell r="E117" t="str">
            <v>고객상담(일반)</v>
          </cell>
          <cell r="F117" t="str">
            <v>CMIS</v>
          </cell>
          <cell r="G117" t="str">
            <v>C/S</v>
          </cell>
          <cell r="H117" t="str">
            <v>대구 콜센터</v>
          </cell>
          <cell r="I117" t="str">
            <v>상담내역 녹음</v>
          </cell>
        </row>
        <row r="118">
          <cell r="A118" t="str">
            <v>FAX31</v>
          </cell>
          <cell r="B118" t="str">
            <v>NT-Server-CPU-ETC-09307</v>
          </cell>
          <cell r="C118" t="str">
            <v>Y</v>
          </cell>
          <cell r="D118" t="str">
            <v>A</v>
          </cell>
          <cell r="E118" t="str">
            <v>고객상담(일반)</v>
          </cell>
          <cell r="F118" t="str">
            <v>CMIS</v>
          </cell>
          <cell r="G118" t="str">
            <v>C/S</v>
          </cell>
          <cell r="H118" t="str">
            <v>대구 콜센터</v>
          </cell>
          <cell r="I118" t="str">
            <v>Fax 전송</v>
          </cell>
        </row>
        <row r="119">
          <cell r="A119" t="str">
            <v>FAX32</v>
          </cell>
          <cell r="B119" t="str">
            <v>NT-Server-CPU-ETC-09308</v>
          </cell>
          <cell r="C119" t="str">
            <v>Y</v>
          </cell>
          <cell r="D119" t="str">
            <v>A</v>
          </cell>
          <cell r="E119" t="str">
            <v>고객상담(일반)</v>
          </cell>
          <cell r="F119" t="str">
            <v>CMIS</v>
          </cell>
          <cell r="G119" t="str">
            <v>C/S</v>
          </cell>
          <cell r="H119" t="str">
            <v>대구 콜센터</v>
          </cell>
          <cell r="I119" t="str">
            <v>Fax 전송</v>
          </cell>
        </row>
        <row r="120">
          <cell r="A120" t="str">
            <v>30cmisACS_SVR</v>
          </cell>
          <cell r="B120" t="str">
            <v>NT-Server-CPU-ETC-09309</v>
          </cell>
          <cell r="C120" t="str">
            <v>Y</v>
          </cell>
          <cell r="D120" t="str">
            <v>A</v>
          </cell>
          <cell r="E120" t="str">
            <v>고객상담(일반)</v>
          </cell>
          <cell r="F120" t="str">
            <v>CMIS</v>
          </cell>
          <cell r="G120" t="str">
            <v>C/S</v>
          </cell>
          <cell r="H120" t="str">
            <v>대구 콜센터</v>
          </cell>
          <cell r="I120" t="str">
            <v>상담 ACS 서버</v>
          </cell>
        </row>
        <row r="121">
          <cell r="A121" t="str">
            <v>CMISACS301</v>
          </cell>
          <cell r="B121" t="str">
            <v>NT-Server-CPU-ETC-09310</v>
          </cell>
          <cell r="C121" t="str">
            <v>Y</v>
          </cell>
          <cell r="D121" t="str">
            <v>A</v>
          </cell>
          <cell r="E121" t="str">
            <v>고객상담(일반)</v>
          </cell>
          <cell r="F121" t="str">
            <v>CMIS</v>
          </cell>
          <cell r="G121" t="str">
            <v>C/S</v>
          </cell>
          <cell r="H121" t="str">
            <v>대구 콜센터</v>
          </cell>
          <cell r="I121" t="str">
            <v>상담 ACS</v>
          </cell>
        </row>
        <row r="122">
          <cell r="A122" t="str">
            <v>IVRSVR200</v>
          </cell>
          <cell r="B122" t="str">
            <v>NT-Server-CPU-ETC-09400</v>
          </cell>
          <cell r="C122" t="str">
            <v>Y</v>
          </cell>
          <cell r="D122" t="str">
            <v>A</v>
          </cell>
          <cell r="E122" t="str">
            <v>고객상담(일반)</v>
          </cell>
          <cell r="F122" t="str">
            <v>CMIS</v>
          </cell>
          <cell r="G122" t="str">
            <v>C/S</v>
          </cell>
          <cell r="H122" t="str">
            <v>부산 콜센터</v>
          </cell>
          <cell r="I122" t="str">
            <v>통계,TBSC 서버</v>
          </cell>
        </row>
        <row r="123">
          <cell r="A123" t="str">
            <v>IVR201</v>
          </cell>
          <cell r="B123" t="str">
            <v>NT-Server-CPU-ETC-09401</v>
          </cell>
          <cell r="C123" t="str">
            <v>Y</v>
          </cell>
          <cell r="D123" t="str">
            <v>A</v>
          </cell>
          <cell r="E123" t="str">
            <v>고객상담(일반)</v>
          </cell>
          <cell r="F123" t="str">
            <v>CMIS</v>
          </cell>
          <cell r="G123" t="str">
            <v>C/S</v>
          </cell>
          <cell r="H123" t="str">
            <v>부산 콜센터</v>
          </cell>
          <cell r="I123" t="str">
            <v>자동응답시스템</v>
          </cell>
        </row>
        <row r="124">
          <cell r="A124" t="str">
            <v>IVR202</v>
          </cell>
          <cell r="B124" t="str">
            <v>NT-Server-CPU-ETC-09402</v>
          </cell>
          <cell r="C124" t="str">
            <v>Y</v>
          </cell>
          <cell r="D124" t="str">
            <v>A</v>
          </cell>
          <cell r="E124" t="str">
            <v>고객상담(일반)</v>
          </cell>
          <cell r="F124" t="str">
            <v>CMIS</v>
          </cell>
          <cell r="G124" t="str">
            <v>C/S</v>
          </cell>
          <cell r="H124" t="str">
            <v>부산 콜센터</v>
          </cell>
          <cell r="I124" t="str">
            <v>자동응답시스템</v>
          </cell>
        </row>
        <row r="125">
          <cell r="A125" t="str">
            <v>PSREC_SVR_01</v>
          </cell>
          <cell r="B125" t="str">
            <v>NT-Server-CPU-ETC-09403</v>
          </cell>
          <cell r="C125" t="str">
            <v>Y</v>
          </cell>
          <cell r="D125" t="str">
            <v>A</v>
          </cell>
          <cell r="E125" t="str">
            <v>고객상담(일반)</v>
          </cell>
          <cell r="F125" t="str">
            <v>CMIS</v>
          </cell>
          <cell r="G125" t="str">
            <v>C/S</v>
          </cell>
          <cell r="H125" t="str">
            <v>부산 콜센터</v>
          </cell>
          <cell r="I125" t="str">
            <v>상담내역 녹음 File 서버</v>
          </cell>
        </row>
        <row r="126">
          <cell r="A126" t="str">
            <v>PSREC_SVR_02</v>
          </cell>
          <cell r="B126" t="str">
            <v>NT-Server-CPU-ETC-09404</v>
          </cell>
          <cell r="C126" t="str">
            <v>Y</v>
          </cell>
          <cell r="D126" t="str">
            <v>A</v>
          </cell>
          <cell r="E126" t="str">
            <v>고객상담(일반)</v>
          </cell>
          <cell r="F126" t="str">
            <v>CMIS</v>
          </cell>
          <cell r="G126" t="str">
            <v>C/S</v>
          </cell>
          <cell r="H126" t="str">
            <v>부산 콜센터</v>
          </cell>
          <cell r="I126" t="str">
            <v>Recording Domain server</v>
          </cell>
        </row>
        <row r="127">
          <cell r="A127" t="str">
            <v>PSREC_CLI_01</v>
          </cell>
          <cell r="B127" t="str">
            <v>NT-Server-CPU-ETC-09405</v>
          </cell>
          <cell r="C127" t="str">
            <v>Y</v>
          </cell>
          <cell r="D127" t="str">
            <v>A</v>
          </cell>
          <cell r="E127" t="str">
            <v>고객상담(일반)</v>
          </cell>
          <cell r="F127" t="str">
            <v>CMIS</v>
          </cell>
          <cell r="G127" t="str">
            <v>C/S</v>
          </cell>
          <cell r="H127" t="str">
            <v>부산 콜센터</v>
          </cell>
          <cell r="I127" t="str">
            <v>상담원 통화내용 녹음</v>
          </cell>
        </row>
        <row r="128">
          <cell r="A128" t="str">
            <v>PSREC_CLI_02</v>
          </cell>
          <cell r="B128" t="str">
            <v>NT-Server-CPU-ETC-09406</v>
          </cell>
          <cell r="C128" t="str">
            <v>Y</v>
          </cell>
          <cell r="D128" t="str">
            <v>A</v>
          </cell>
          <cell r="E128" t="str">
            <v>고객상담(일반)</v>
          </cell>
          <cell r="F128" t="str">
            <v>CMIS</v>
          </cell>
          <cell r="G128" t="str">
            <v>C/S</v>
          </cell>
          <cell r="H128" t="str">
            <v>부산 콜센터</v>
          </cell>
          <cell r="I128" t="str">
            <v>상담원 통화내용 녹음</v>
          </cell>
        </row>
        <row r="129">
          <cell r="A129" t="str">
            <v>PSREC_CLI_03</v>
          </cell>
          <cell r="B129" t="str">
            <v>NT-Server-CPU-ETC-09407</v>
          </cell>
          <cell r="C129" t="str">
            <v>Y</v>
          </cell>
          <cell r="D129" t="str">
            <v>A</v>
          </cell>
          <cell r="E129" t="str">
            <v>고객상담(일반)</v>
          </cell>
          <cell r="F129" t="str">
            <v>CMIS</v>
          </cell>
          <cell r="G129" t="str">
            <v>C/S</v>
          </cell>
          <cell r="H129" t="str">
            <v>부산 콜센터</v>
          </cell>
          <cell r="I129" t="str">
            <v>상담원 통화내용 녹음</v>
          </cell>
        </row>
        <row r="130">
          <cell r="A130" t="str">
            <v>PSREC_CLI_04</v>
          </cell>
          <cell r="B130" t="str">
            <v>NT-Server-CPU-ETC-09408</v>
          </cell>
          <cell r="C130" t="str">
            <v>Y</v>
          </cell>
          <cell r="D130" t="str">
            <v>A</v>
          </cell>
          <cell r="E130" t="str">
            <v>고객상담(일반)</v>
          </cell>
          <cell r="F130" t="str">
            <v>CMIS</v>
          </cell>
          <cell r="G130" t="str">
            <v>C/S</v>
          </cell>
          <cell r="H130" t="str">
            <v>부산 콜센터</v>
          </cell>
          <cell r="I130" t="str">
            <v>상담원 통화내용 녹음</v>
          </cell>
        </row>
        <row r="131">
          <cell r="A131" t="str">
            <v>PSFAX_SVR_01</v>
          </cell>
          <cell r="B131" t="str">
            <v>NT-Server-CPU-ETC-09409</v>
          </cell>
          <cell r="C131" t="str">
            <v>Y</v>
          </cell>
          <cell r="D131" t="str">
            <v>A</v>
          </cell>
          <cell r="E131" t="str">
            <v>고객상담(일반)</v>
          </cell>
          <cell r="F131" t="str">
            <v>CMIS</v>
          </cell>
          <cell r="G131" t="str">
            <v>C/S</v>
          </cell>
          <cell r="H131" t="str">
            <v>부산 콜센터</v>
          </cell>
          <cell r="I131" t="str">
            <v>Fax 보내기</v>
          </cell>
        </row>
        <row r="132">
          <cell r="A132" t="str">
            <v>PSFAX_SVR_02</v>
          </cell>
          <cell r="B132" t="str">
            <v>NT-Server-CPU-ETC-09410</v>
          </cell>
          <cell r="C132" t="str">
            <v>Y</v>
          </cell>
          <cell r="D132" t="str">
            <v>A</v>
          </cell>
          <cell r="E132" t="str">
            <v>고객상담(일반)</v>
          </cell>
          <cell r="F132" t="str">
            <v>CMIS</v>
          </cell>
          <cell r="G132" t="str">
            <v>C/S</v>
          </cell>
          <cell r="H132" t="str">
            <v>부산 콜센터</v>
          </cell>
          <cell r="I132" t="str">
            <v>Fax 보내기</v>
          </cell>
        </row>
        <row r="133">
          <cell r="A133" t="str">
            <v>20CMISACS_SVR</v>
          </cell>
          <cell r="B133" t="str">
            <v>NT-Server-CPU-ETC-09411</v>
          </cell>
          <cell r="C133" t="str">
            <v>Y</v>
          </cell>
          <cell r="D133" t="str">
            <v>A</v>
          </cell>
          <cell r="E133" t="str">
            <v>고객상담(일반)</v>
          </cell>
          <cell r="F133" t="str">
            <v>CMIS</v>
          </cell>
          <cell r="G133" t="str">
            <v>C/S</v>
          </cell>
          <cell r="H133" t="str">
            <v>부산 콜센터</v>
          </cell>
          <cell r="I133" t="str">
            <v>상담 ACS 서버</v>
          </cell>
        </row>
        <row r="134">
          <cell r="A134" t="str">
            <v>CMISACS201</v>
          </cell>
          <cell r="B134" t="str">
            <v>NT-Server-CPU-ETC-09412</v>
          </cell>
          <cell r="C134" t="str">
            <v>Y</v>
          </cell>
          <cell r="D134" t="str">
            <v>A</v>
          </cell>
          <cell r="E134" t="str">
            <v>고객상담(일반)</v>
          </cell>
          <cell r="F134" t="str">
            <v>CMIS</v>
          </cell>
          <cell r="G134" t="str">
            <v>C/S</v>
          </cell>
          <cell r="H134" t="str">
            <v>부산 콜센터</v>
          </cell>
          <cell r="I134" t="str">
            <v>상담 ACS</v>
          </cell>
        </row>
        <row r="135">
          <cell r="A135" t="str">
            <v>IVRSVR500</v>
          </cell>
          <cell r="B135" t="str">
            <v>NT-Server-CPU-ETC-09500</v>
          </cell>
          <cell r="C135" t="str">
            <v>Y</v>
          </cell>
          <cell r="D135" t="str">
            <v>A</v>
          </cell>
          <cell r="E135" t="str">
            <v>고객상담(일반)</v>
          </cell>
          <cell r="F135" t="str">
            <v>CMIS</v>
          </cell>
          <cell r="G135" t="str">
            <v>C/S</v>
          </cell>
          <cell r="H135" t="str">
            <v>청주 콜센터</v>
          </cell>
          <cell r="I135" t="str">
            <v>통계,TBSC 서버</v>
          </cell>
        </row>
        <row r="136">
          <cell r="A136" t="str">
            <v>IVR501</v>
          </cell>
          <cell r="B136" t="str">
            <v>NT-Server-CPU-ETC-09501</v>
          </cell>
          <cell r="C136" t="str">
            <v>Y</v>
          </cell>
          <cell r="D136" t="str">
            <v>A</v>
          </cell>
          <cell r="E136" t="str">
            <v>고객상담(일반)</v>
          </cell>
          <cell r="F136" t="str">
            <v>CMIS</v>
          </cell>
          <cell r="G136" t="str">
            <v>C/S</v>
          </cell>
          <cell r="H136" t="str">
            <v>청주 콜센터</v>
          </cell>
          <cell r="I136" t="str">
            <v>자동응답시스템</v>
          </cell>
        </row>
        <row r="137">
          <cell r="A137" t="str">
            <v>IVR502</v>
          </cell>
          <cell r="B137" t="str">
            <v>NT-Server-CPU-ETC-09502</v>
          </cell>
          <cell r="C137" t="str">
            <v>Y</v>
          </cell>
          <cell r="D137" t="str">
            <v>A</v>
          </cell>
          <cell r="E137" t="str">
            <v>고객상담(일반)</v>
          </cell>
          <cell r="F137" t="str">
            <v>CMIS</v>
          </cell>
          <cell r="G137" t="str">
            <v>C/S</v>
          </cell>
          <cell r="H137" t="str">
            <v>청주 콜센터</v>
          </cell>
          <cell r="I137" t="str">
            <v>자동응답시스템</v>
          </cell>
        </row>
        <row r="138">
          <cell r="A138" t="str">
            <v xml:space="preserve">RECSVR </v>
          </cell>
          <cell r="B138" t="str">
            <v>NT-Server-CPU-ETC-09503</v>
          </cell>
          <cell r="C138" t="str">
            <v>Y</v>
          </cell>
          <cell r="D138" t="str">
            <v>A</v>
          </cell>
          <cell r="E138" t="str">
            <v>고객상담(일반)</v>
          </cell>
          <cell r="F138" t="str">
            <v>CMIS</v>
          </cell>
          <cell r="G138" t="str">
            <v>C/S</v>
          </cell>
          <cell r="H138" t="str">
            <v>청주 콜센터</v>
          </cell>
          <cell r="I138" t="str">
            <v>상담내역 녹음 File 서버</v>
          </cell>
        </row>
        <row r="139">
          <cell r="A139" t="str">
            <v>REC1-1</v>
          </cell>
          <cell r="B139" t="str">
            <v>NT-Server-CPU-ETC-09504</v>
          </cell>
          <cell r="C139" t="str">
            <v>Y</v>
          </cell>
          <cell r="D139" t="str">
            <v>A</v>
          </cell>
          <cell r="E139" t="str">
            <v>고객상담(일반)</v>
          </cell>
          <cell r="F139" t="str">
            <v>CMIS</v>
          </cell>
          <cell r="G139" t="str">
            <v>C/S</v>
          </cell>
          <cell r="H139" t="str">
            <v>청주 콜센터</v>
          </cell>
          <cell r="I139" t="str">
            <v>상담내역 녹음</v>
          </cell>
        </row>
        <row r="140">
          <cell r="A140" t="str">
            <v>REC1-2</v>
          </cell>
          <cell r="B140" t="str">
            <v>NT-Server-CPU-ETC-09505</v>
          </cell>
          <cell r="C140" t="str">
            <v>Y</v>
          </cell>
          <cell r="D140" t="str">
            <v>A</v>
          </cell>
          <cell r="E140" t="str">
            <v>고객상담(일반)</v>
          </cell>
          <cell r="F140" t="str">
            <v>CMIS</v>
          </cell>
          <cell r="G140" t="str">
            <v>C/S</v>
          </cell>
          <cell r="H140" t="str">
            <v>청주 콜센터</v>
          </cell>
          <cell r="I140" t="str">
            <v>상담내역 녹음</v>
          </cell>
        </row>
        <row r="141">
          <cell r="A141" t="str">
            <v>REC1-3</v>
          </cell>
          <cell r="B141" t="str">
            <v>NT-Server-CPU-ETC-09506</v>
          </cell>
          <cell r="C141" t="str">
            <v>Y</v>
          </cell>
          <cell r="D141" t="str">
            <v>A</v>
          </cell>
          <cell r="E141" t="str">
            <v>고객상담(일반)</v>
          </cell>
          <cell r="F141" t="str">
            <v>CMIS</v>
          </cell>
          <cell r="G141" t="str">
            <v>C/S</v>
          </cell>
          <cell r="H141" t="str">
            <v>청주 콜센터</v>
          </cell>
          <cell r="I141" t="str">
            <v>상담내역 녹음</v>
          </cell>
        </row>
        <row r="142">
          <cell r="A142" t="str">
            <v>CBFAX_SVR01</v>
          </cell>
          <cell r="B142" t="str">
            <v>NT-Server-CPU-ETC-09507</v>
          </cell>
          <cell r="C142" t="str">
            <v>Y</v>
          </cell>
          <cell r="D142" t="str">
            <v>A</v>
          </cell>
          <cell r="E142" t="str">
            <v>고객상담(일반)</v>
          </cell>
          <cell r="F142" t="str">
            <v>CMIS</v>
          </cell>
          <cell r="G142" t="str">
            <v>C/S</v>
          </cell>
          <cell r="H142" t="str">
            <v>청주 콜센터</v>
          </cell>
          <cell r="I142" t="str">
            <v>FAX 보내기</v>
          </cell>
        </row>
        <row r="143">
          <cell r="A143" t="str">
            <v>CBFAX_SVR02</v>
          </cell>
          <cell r="B143" t="str">
            <v>NT-Server-CPU-ETC-09508</v>
          </cell>
          <cell r="C143" t="str">
            <v>Y</v>
          </cell>
          <cell r="D143" t="str">
            <v>A</v>
          </cell>
          <cell r="E143" t="str">
            <v>고객상담(일반)</v>
          </cell>
          <cell r="F143" t="str">
            <v>CMIS</v>
          </cell>
          <cell r="G143" t="str">
            <v>C/S</v>
          </cell>
          <cell r="H143" t="str">
            <v>청주 콜센터</v>
          </cell>
          <cell r="I143" t="str">
            <v>FAX 보내기</v>
          </cell>
        </row>
        <row r="144">
          <cell r="A144" t="str">
            <v>50CMISACS_SVR</v>
          </cell>
          <cell r="B144" t="str">
            <v>NT-Server-CPU-ETC-09509</v>
          </cell>
          <cell r="C144" t="str">
            <v>Y</v>
          </cell>
          <cell r="D144" t="str">
            <v>A</v>
          </cell>
          <cell r="E144" t="str">
            <v>고객상담(일반)</v>
          </cell>
          <cell r="F144" t="str">
            <v>CMIS</v>
          </cell>
          <cell r="G144" t="str">
            <v>C/S</v>
          </cell>
          <cell r="H144" t="str">
            <v>청주 콜센터</v>
          </cell>
          <cell r="I144" t="str">
            <v>상담 ACS 서버</v>
          </cell>
        </row>
        <row r="145">
          <cell r="A145" t="str">
            <v>CMISACS501</v>
          </cell>
          <cell r="B145" t="str">
            <v>NT-Server-CPU-ETC-09510</v>
          </cell>
          <cell r="C145" t="str">
            <v>Y</v>
          </cell>
          <cell r="D145" t="str">
            <v>A</v>
          </cell>
          <cell r="E145" t="str">
            <v>고객상담(일반)</v>
          </cell>
          <cell r="F145" t="str">
            <v>CMIS</v>
          </cell>
          <cell r="G145" t="str">
            <v>C/S</v>
          </cell>
          <cell r="H145" t="str">
            <v>청주 콜센터</v>
          </cell>
          <cell r="I145" t="str">
            <v>상담 ACS</v>
          </cell>
        </row>
        <row r="146">
          <cell r="A146" t="str">
            <v>CTI_JA1</v>
          </cell>
          <cell r="B146" t="str">
            <v>UX-CPU-HP-00087</v>
          </cell>
          <cell r="C146" t="str">
            <v>Y</v>
          </cell>
          <cell r="D146" t="str">
            <v>A</v>
          </cell>
          <cell r="E146" t="str">
            <v>고객상담(일반)</v>
          </cell>
          <cell r="F146" t="str">
            <v>CMIS</v>
          </cell>
          <cell r="G146" t="str">
            <v>C/S</v>
          </cell>
          <cell r="H146" t="str">
            <v>서울,장안동</v>
          </cell>
          <cell r="I146" t="str">
            <v>CTI 미들웨어</v>
          </cell>
        </row>
        <row r="147">
          <cell r="A147" t="str">
            <v>CTI_JA2</v>
          </cell>
          <cell r="B147" t="str">
            <v>UX-CPU-HP-00088</v>
          </cell>
          <cell r="C147" t="str">
            <v>Y</v>
          </cell>
          <cell r="D147" t="str">
            <v>A</v>
          </cell>
          <cell r="E147" t="str">
            <v>고객상담(일반)</v>
          </cell>
          <cell r="F147" t="str">
            <v>CMIS</v>
          </cell>
          <cell r="G147" t="str">
            <v>C/S</v>
          </cell>
          <cell r="H147" t="str">
            <v>서울,장안동</v>
          </cell>
          <cell r="I147" t="str">
            <v>CTI 미들웨어</v>
          </cell>
        </row>
        <row r="148">
          <cell r="A148" t="str">
            <v>CTI_CB1</v>
          </cell>
          <cell r="B148" t="str">
            <v>UX-CPU-HP-00126</v>
          </cell>
          <cell r="C148" t="str">
            <v>Y</v>
          </cell>
          <cell r="D148" t="str">
            <v>A</v>
          </cell>
          <cell r="E148" t="str">
            <v>고객상담(일반)</v>
          </cell>
          <cell r="F148" t="str">
            <v>CMIS</v>
          </cell>
          <cell r="G148" t="str">
            <v>C/S</v>
          </cell>
          <cell r="H148" t="str">
            <v>중부</v>
          </cell>
          <cell r="I148" t="str">
            <v>CTI Primary</v>
          </cell>
        </row>
        <row r="149">
          <cell r="A149" t="str">
            <v>CTI_CB2</v>
          </cell>
          <cell r="B149" t="str">
            <v>UX-CPU-HP-00127</v>
          </cell>
          <cell r="C149" t="str">
            <v>Y</v>
          </cell>
          <cell r="D149" t="str">
            <v>A</v>
          </cell>
          <cell r="E149" t="str">
            <v>고객상담(일반)</v>
          </cell>
          <cell r="F149" t="str">
            <v>CMIS</v>
          </cell>
          <cell r="G149" t="str">
            <v>C/S</v>
          </cell>
          <cell r="H149" t="str">
            <v>중부</v>
          </cell>
          <cell r="I149" t="str">
            <v>CTI Backup</v>
          </cell>
        </row>
        <row r="150">
          <cell r="A150" t="str">
            <v>CTI_SM</v>
          </cell>
          <cell r="B150" t="str">
            <v>UX-CPU-HP-00128</v>
          </cell>
          <cell r="C150" t="str">
            <v>Y</v>
          </cell>
          <cell r="D150" t="str">
            <v>A</v>
          </cell>
          <cell r="E150" t="str">
            <v>고객상담(일반)</v>
          </cell>
          <cell r="F150" t="str">
            <v>CMIS</v>
          </cell>
          <cell r="G150" t="str">
            <v>C/S</v>
          </cell>
          <cell r="H150" t="str">
            <v>구로</v>
          </cell>
          <cell r="I150" t="str">
            <v>CTI Backup</v>
          </cell>
        </row>
        <row r="151">
          <cell r="A151" t="str">
            <v>CTI_SS</v>
          </cell>
          <cell r="B151" t="str">
            <v>UX-CPU-HP-00129</v>
          </cell>
          <cell r="C151" t="str">
            <v>Y</v>
          </cell>
          <cell r="D151" t="str">
            <v>A</v>
          </cell>
          <cell r="E151" t="str">
            <v>고객상담(일반)</v>
          </cell>
          <cell r="F151" t="str">
            <v>CMIS</v>
          </cell>
          <cell r="G151" t="str">
            <v>C/S</v>
          </cell>
          <cell r="H151" t="str">
            <v>구로</v>
          </cell>
          <cell r="I151" t="str">
            <v>CTI Primary</v>
          </cell>
        </row>
        <row r="152">
          <cell r="A152" t="str">
            <v>CTI_PS1</v>
          </cell>
          <cell r="B152" t="str">
            <v>UX-CPU-HP-00131</v>
          </cell>
          <cell r="C152" t="str">
            <v>Y</v>
          </cell>
          <cell r="D152" t="str">
            <v>A</v>
          </cell>
          <cell r="E152" t="str">
            <v>고객상담(일반)</v>
          </cell>
          <cell r="F152" t="str">
            <v>CMIS</v>
          </cell>
          <cell r="G152" t="str">
            <v>C/S</v>
          </cell>
          <cell r="H152" t="str">
            <v>부산</v>
          </cell>
          <cell r="I152" t="str">
            <v>CTI 미들웨어</v>
          </cell>
        </row>
        <row r="153">
          <cell r="A153" t="str">
            <v>CTI_PS2</v>
          </cell>
          <cell r="B153" t="str">
            <v>UX-CPU-HP-00132</v>
          </cell>
          <cell r="C153" t="str">
            <v>Y</v>
          </cell>
          <cell r="D153" t="str">
            <v>A</v>
          </cell>
          <cell r="E153" t="str">
            <v>고객상담(일반)</v>
          </cell>
          <cell r="F153" t="str">
            <v>CMIS</v>
          </cell>
          <cell r="G153" t="str">
            <v>C/S</v>
          </cell>
          <cell r="H153" t="str">
            <v>부산</v>
          </cell>
          <cell r="I153" t="str">
            <v>CTI 미들웨어</v>
          </cell>
        </row>
        <row r="154">
          <cell r="A154" t="str">
            <v>CTI_SB1</v>
          </cell>
          <cell r="B154" t="str">
            <v>UX-CPU-HP-00133</v>
          </cell>
          <cell r="C154" t="str">
            <v>Y</v>
          </cell>
          <cell r="D154" t="str">
            <v>A</v>
          </cell>
          <cell r="E154" t="str">
            <v>고객상담(일반)</v>
          </cell>
          <cell r="F154" t="str">
            <v>CMIS</v>
          </cell>
          <cell r="G154" t="str">
            <v>C/S</v>
          </cell>
          <cell r="H154" t="str">
            <v>서부</v>
          </cell>
          <cell r="I154" t="str">
            <v>CTI 미들웨어</v>
          </cell>
        </row>
        <row r="155">
          <cell r="A155" t="str">
            <v>CTI_SB2</v>
          </cell>
          <cell r="B155" t="str">
            <v>UX-CPU-HP-00134</v>
          </cell>
          <cell r="C155" t="str">
            <v>Y</v>
          </cell>
          <cell r="D155" t="str">
            <v>A</v>
          </cell>
          <cell r="E155" t="str">
            <v>고객상담(일반)</v>
          </cell>
          <cell r="F155" t="str">
            <v>CMIS</v>
          </cell>
          <cell r="G155" t="str">
            <v>C/S</v>
          </cell>
          <cell r="H155" t="str">
            <v>서부</v>
          </cell>
          <cell r="I155" t="str">
            <v>CTI 미들웨어</v>
          </cell>
        </row>
        <row r="156">
          <cell r="A156" t="str">
            <v>CTI_TG1</v>
          </cell>
          <cell r="B156" t="str">
            <v>UX-CPU-HP-00135</v>
          </cell>
          <cell r="C156" t="str">
            <v>Y</v>
          </cell>
          <cell r="D156" t="str">
            <v>A</v>
          </cell>
          <cell r="E156" t="str">
            <v>고객상담(일반)</v>
          </cell>
          <cell r="F156" t="str">
            <v>CMIS</v>
          </cell>
          <cell r="G156" t="str">
            <v>C/S</v>
          </cell>
          <cell r="H156" t="str">
            <v>대구</v>
          </cell>
          <cell r="I156" t="str">
            <v>CTI 미들웨어</v>
          </cell>
        </row>
        <row r="157">
          <cell r="A157" t="str">
            <v>CTI_TG2</v>
          </cell>
          <cell r="B157" t="str">
            <v>UX-CPU-HP-00136</v>
          </cell>
          <cell r="C157" t="str">
            <v>Y</v>
          </cell>
          <cell r="D157" t="str">
            <v>A</v>
          </cell>
          <cell r="E157" t="str">
            <v>고객상담(일반)</v>
          </cell>
          <cell r="F157" t="str">
            <v>CMIS</v>
          </cell>
          <cell r="G157" t="str">
            <v>C/S</v>
          </cell>
          <cell r="H157" t="str">
            <v>대구</v>
          </cell>
          <cell r="I157" t="str">
            <v>CTI 미들웨어</v>
          </cell>
        </row>
        <row r="158">
          <cell r="A158" t="str">
            <v>jadbsvr</v>
          </cell>
          <cell r="B158" t="str">
            <v>UX-CPU-RS6000-00101</v>
          </cell>
          <cell r="C158" t="str">
            <v>Y</v>
          </cell>
          <cell r="D158" t="str">
            <v>A</v>
          </cell>
          <cell r="E158" t="str">
            <v>고객상담(일반)</v>
          </cell>
          <cell r="F158" t="str">
            <v>CMIS</v>
          </cell>
          <cell r="G158" t="str">
            <v>C/S</v>
          </cell>
          <cell r="H158" t="str">
            <v>서울,장안동</v>
          </cell>
          <cell r="I158" t="str">
            <v>CTI DB Server</v>
          </cell>
        </row>
        <row r="159">
          <cell r="A159" t="str">
            <v>jadbsvr1</v>
          </cell>
          <cell r="B159" t="str">
            <v>UX-CPU-RS6000-00102</v>
          </cell>
          <cell r="C159" t="str">
            <v>Y</v>
          </cell>
          <cell r="D159" t="str">
            <v>A</v>
          </cell>
          <cell r="E159" t="str">
            <v>고객상담(일반)</v>
          </cell>
          <cell r="F159" t="str">
            <v>CMIS</v>
          </cell>
          <cell r="G159" t="str">
            <v>C/S</v>
          </cell>
          <cell r="H159" t="str">
            <v>서울,장안동</v>
          </cell>
          <cell r="I159" t="str">
            <v>CTI DB Server</v>
          </cell>
        </row>
        <row r="160">
          <cell r="A160" t="str">
            <v>dbsvr</v>
          </cell>
          <cell r="B160" t="str">
            <v>UX-CPU-RS6000-00137</v>
          </cell>
          <cell r="C160" t="str">
            <v>Y</v>
          </cell>
          <cell r="D160" t="str">
            <v>A</v>
          </cell>
          <cell r="E160" t="str">
            <v>고객상담(일반)</v>
          </cell>
          <cell r="F160" t="str">
            <v>CMIS</v>
          </cell>
          <cell r="G160" t="str">
            <v>C/S</v>
          </cell>
          <cell r="H160" t="str">
            <v>구로</v>
          </cell>
          <cell r="I160" t="str">
            <v>DB (Master)</v>
          </cell>
        </row>
        <row r="161">
          <cell r="A161" t="str">
            <v>cbdbsvr</v>
          </cell>
          <cell r="B161" t="str">
            <v>UX-CPU-RS6000-00141</v>
          </cell>
          <cell r="C161" t="str">
            <v>Y</v>
          </cell>
          <cell r="D161" t="str">
            <v>A</v>
          </cell>
          <cell r="E161" t="str">
            <v>고객상담(일반)</v>
          </cell>
          <cell r="F161" t="str">
            <v>CMIS</v>
          </cell>
          <cell r="G161" t="str">
            <v>C/S</v>
          </cell>
          <cell r="H161" t="str">
            <v>중부</v>
          </cell>
          <cell r="I161" t="str">
            <v>미들웨어 QUEUE정보 저장 , 통계데이터 저장</v>
          </cell>
        </row>
        <row r="162">
          <cell r="A162" t="str">
            <v>cbdbsvr1</v>
          </cell>
          <cell r="B162" t="str">
            <v>UX-CPU-RS6000-00142</v>
          </cell>
          <cell r="C162" t="str">
            <v>Y</v>
          </cell>
          <cell r="D162" t="str">
            <v>A</v>
          </cell>
          <cell r="E162" t="str">
            <v>고객상담(일반)</v>
          </cell>
          <cell r="F162" t="str">
            <v>CMIS</v>
          </cell>
          <cell r="G162" t="str">
            <v>C/S</v>
          </cell>
          <cell r="H162" t="str">
            <v>중부</v>
          </cell>
          <cell r="I162" t="str">
            <v>BACKUP DB SERVER</v>
          </cell>
        </row>
        <row r="163">
          <cell r="A163" t="str">
            <v>cmis_bk</v>
          </cell>
          <cell r="B163" t="str">
            <v>UX-CPU-RS6000-00143</v>
          </cell>
          <cell r="C163" t="str">
            <v>Y</v>
          </cell>
          <cell r="D163" t="str">
            <v>A</v>
          </cell>
          <cell r="E163" t="str">
            <v>고객상담(일반)</v>
          </cell>
          <cell r="F163" t="str">
            <v>CMIS</v>
          </cell>
          <cell r="G163" t="str">
            <v>C/S</v>
          </cell>
          <cell r="H163" t="str">
            <v>구로</v>
          </cell>
          <cell r="I163" t="str">
            <v>Auto Backup (FTP Server)</v>
          </cell>
        </row>
        <row r="164">
          <cell r="A164" t="str">
            <v>dbsvr1</v>
          </cell>
          <cell r="B164" t="str">
            <v>UX-CPU-RS6000-00145</v>
          </cell>
          <cell r="C164" t="str">
            <v>Y</v>
          </cell>
          <cell r="D164" t="str">
            <v>A</v>
          </cell>
          <cell r="E164" t="str">
            <v>고객상담(일반)</v>
          </cell>
          <cell r="F164" t="str">
            <v>CMIS</v>
          </cell>
          <cell r="G164" t="str">
            <v>C/S</v>
          </cell>
          <cell r="H164" t="str">
            <v>구로</v>
          </cell>
          <cell r="I164" t="str">
            <v>DB (Backup)</v>
          </cell>
        </row>
        <row r="165">
          <cell r="A165" t="str">
            <v>psdbsvr</v>
          </cell>
          <cell r="B165" t="str">
            <v>UX-CPU-RS6000-00146</v>
          </cell>
          <cell r="C165" t="str">
            <v>Y</v>
          </cell>
          <cell r="D165" t="str">
            <v>A</v>
          </cell>
          <cell r="E165" t="str">
            <v>고객상담(일반)</v>
          </cell>
          <cell r="F165" t="str">
            <v>CMIS</v>
          </cell>
          <cell r="G165" t="str">
            <v>C/S</v>
          </cell>
          <cell r="H165" t="str">
            <v>부산</v>
          </cell>
          <cell r="I165" t="str">
            <v>DB (Master)</v>
          </cell>
        </row>
        <row r="166">
          <cell r="A166" t="str">
            <v>psdbsvr1</v>
          </cell>
          <cell r="B166" t="str">
            <v>UX-CPU-RS6000-00147</v>
          </cell>
          <cell r="C166" t="str">
            <v>Y</v>
          </cell>
          <cell r="D166" t="str">
            <v>A</v>
          </cell>
          <cell r="E166" t="str">
            <v>고객상담(일반)</v>
          </cell>
          <cell r="F166" t="str">
            <v>CMIS</v>
          </cell>
          <cell r="G166" t="str">
            <v>C/S</v>
          </cell>
          <cell r="H166" t="str">
            <v>부산</v>
          </cell>
          <cell r="I166" t="str">
            <v>DB (Backup)</v>
          </cell>
        </row>
        <row r="167">
          <cell r="A167" t="str">
            <v>sbdbsvr</v>
          </cell>
          <cell r="B167" t="str">
            <v>UX-CPU-RS6000-00148</v>
          </cell>
          <cell r="C167" t="str">
            <v>Y</v>
          </cell>
          <cell r="D167" t="str">
            <v>A</v>
          </cell>
          <cell r="E167" t="str">
            <v>고객상담(일반)</v>
          </cell>
          <cell r="F167" t="str">
            <v>CMIS</v>
          </cell>
          <cell r="G167" t="str">
            <v>C/S</v>
          </cell>
          <cell r="H167" t="str">
            <v>서부</v>
          </cell>
          <cell r="I167" t="str">
            <v>DB (Master)</v>
          </cell>
        </row>
        <row r="168">
          <cell r="A168" t="str">
            <v>sbdbsvr1</v>
          </cell>
          <cell r="B168" t="str">
            <v>UX-CPU-RS6000-00149</v>
          </cell>
          <cell r="C168" t="str">
            <v>Y</v>
          </cell>
          <cell r="D168" t="str">
            <v>A</v>
          </cell>
          <cell r="E168" t="str">
            <v>고객상담(일반)</v>
          </cell>
          <cell r="F168" t="str">
            <v>CMIS</v>
          </cell>
          <cell r="G168" t="str">
            <v>C/S</v>
          </cell>
          <cell r="H168" t="str">
            <v>서부</v>
          </cell>
          <cell r="I168" t="str">
            <v>DB (Backup)</v>
          </cell>
        </row>
        <row r="169">
          <cell r="A169" t="str">
            <v>tgdbsvr</v>
          </cell>
          <cell r="B169" t="str">
            <v>UX-CPU-RS6000-00151</v>
          </cell>
          <cell r="C169" t="str">
            <v>Y</v>
          </cell>
          <cell r="D169" t="str">
            <v>A</v>
          </cell>
          <cell r="E169" t="str">
            <v>고객상담(일반)</v>
          </cell>
          <cell r="F169" t="str">
            <v>CMIS</v>
          </cell>
          <cell r="G169" t="str">
            <v>C/S</v>
          </cell>
          <cell r="H169" t="str">
            <v>대구</v>
          </cell>
          <cell r="I169" t="str">
            <v>미들웨어 QUEUE정보 저장 , 통계데이터 저장</v>
          </cell>
        </row>
        <row r="170">
          <cell r="A170" t="str">
            <v>tgdbsvr1</v>
          </cell>
          <cell r="B170" t="str">
            <v>UX-CPU-RS6000-00152</v>
          </cell>
          <cell r="C170" t="str">
            <v>Y</v>
          </cell>
          <cell r="D170" t="str">
            <v>A</v>
          </cell>
          <cell r="E170" t="str">
            <v>고객상담(일반)</v>
          </cell>
          <cell r="F170" t="str">
            <v>CMIS</v>
          </cell>
          <cell r="G170" t="str">
            <v>C/S</v>
          </cell>
          <cell r="H170" t="str">
            <v>대구</v>
          </cell>
          <cell r="I170" t="str">
            <v>BACKUP DB SERVER</v>
          </cell>
        </row>
        <row r="171">
          <cell r="C171" t="str">
            <v>합계</v>
          </cell>
        </row>
        <row r="172">
          <cell r="A172" t="str">
            <v>PDMASMP</v>
          </cell>
          <cell r="B172" t="str">
            <v>S01</v>
          </cell>
          <cell r="C172" t="str">
            <v>Y</v>
          </cell>
          <cell r="D172" t="str">
            <v>B</v>
          </cell>
          <cell r="E172" t="str">
            <v>영업</v>
          </cell>
          <cell r="F172" t="str">
            <v>COIS</v>
          </cell>
          <cell r="G172" t="str">
            <v>Host</v>
          </cell>
          <cell r="H172" t="str">
            <v>대덕DC</v>
          </cell>
          <cell r="I172" t="str">
            <v>COIS</v>
          </cell>
        </row>
        <row r="173">
          <cell r="A173" t="str">
            <v>PDMASDV</v>
          </cell>
          <cell r="B173" t="str">
            <v>S01</v>
          </cell>
          <cell r="C173" t="str">
            <v>Y</v>
          </cell>
          <cell r="D173" t="str">
            <v>B</v>
          </cell>
          <cell r="E173" t="str">
            <v>영업</v>
          </cell>
          <cell r="F173" t="str">
            <v>COIS</v>
          </cell>
          <cell r="G173" t="str">
            <v>Host</v>
          </cell>
          <cell r="H173" t="str">
            <v>대덕DC</v>
          </cell>
          <cell r="I173" t="str">
            <v>COIS</v>
          </cell>
        </row>
        <row r="174">
          <cell r="A174" t="str">
            <v>PDMASMQ</v>
          </cell>
          <cell r="B174" t="str">
            <v>S01</v>
          </cell>
          <cell r="C174" t="str">
            <v>Y</v>
          </cell>
          <cell r="D174" t="str">
            <v>B</v>
          </cell>
          <cell r="E174" t="str">
            <v>영업</v>
          </cell>
          <cell r="F174" t="str">
            <v>COIS</v>
          </cell>
          <cell r="G174" t="str">
            <v>Host</v>
          </cell>
          <cell r="H174" t="str">
            <v>대덕DC</v>
          </cell>
          <cell r="I174" t="str">
            <v>COIS</v>
          </cell>
        </row>
        <row r="175">
          <cell r="A175" t="str">
            <v>PDMAS11</v>
          </cell>
          <cell r="B175" t="str">
            <v>S01</v>
          </cell>
          <cell r="C175" t="str">
            <v>Y</v>
          </cell>
          <cell r="D175" t="str">
            <v>B</v>
          </cell>
          <cell r="E175" t="str">
            <v>영업</v>
          </cell>
          <cell r="F175" t="str">
            <v>COIS</v>
          </cell>
          <cell r="G175" t="str">
            <v>Host</v>
          </cell>
          <cell r="H175" t="str">
            <v>대덕DC</v>
          </cell>
          <cell r="I175" t="str">
            <v>COIS</v>
          </cell>
        </row>
        <row r="176">
          <cell r="A176" t="str">
            <v>PDMAS12</v>
          </cell>
          <cell r="B176" t="str">
            <v>S01</v>
          </cell>
          <cell r="C176" t="str">
            <v>Y</v>
          </cell>
          <cell r="D176" t="str">
            <v>B</v>
          </cell>
          <cell r="E176" t="str">
            <v>영업</v>
          </cell>
          <cell r="F176" t="str">
            <v>COIS</v>
          </cell>
          <cell r="G176" t="str">
            <v>Host</v>
          </cell>
          <cell r="H176" t="str">
            <v>대덕DC</v>
          </cell>
          <cell r="I176" t="str">
            <v>COIS</v>
          </cell>
        </row>
        <row r="177">
          <cell r="A177" t="str">
            <v>PDMAS13</v>
          </cell>
          <cell r="B177" t="str">
            <v>S01</v>
          </cell>
          <cell r="C177" t="str">
            <v>Y</v>
          </cell>
          <cell r="D177" t="str">
            <v>B</v>
          </cell>
          <cell r="E177" t="str">
            <v>영업</v>
          </cell>
          <cell r="F177" t="str">
            <v>COIS</v>
          </cell>
          <cell r="G177" t="str">
            <v>Host</v>
          </cell>
          <cell r="H177" t="str">
            <v>대덕DC</v>
          </cell>
          <cell r="I177" t="str">
            <v>COIS</v>
          </cell>
        </row>
        <row r="178">
          <cell r="A178" t="str">
            <v>PDMAS14</v>
          </cell>
          <cell r="B178" t="str">
            <v>S01</v>
          </cell>
          <cell r="C178" t="str">
            <v>Y</v>
          </cell>
          <cell r="D178" t="str">
            <v>B</v>
          </cell>
          <cell r="E178" t="str">
            <v>영업</v>
          </cell>
          <cell r="F178" t="str">
            <v>COIS</v>
          </cell>
          <cell r="G178" t="str">
            <v>Host</v>
          </cell>
          <cell r="H178" t="str">
            <v>대덕DC</v>
          </cell>
          <cell r="I178" t="str">
            <v>COIS</v>
          </cell>
        </row>
        <row r="179">
          <cell r="A179" t="str">
            <v>PDMAS15</v>
          </cell>
          <cell r="B179" t="str">
            <v>S01</v>
          </cell>
          <cell r="C179" t="str">
            <v>Y</v>
          </cell>
          <cell r="D179" t="str">
            <v>B</v>
          </cell>
          <cell r="E179" t="str">
            <v>영업</v>
          </cell>
          <cell r="F179" t="str">
            <v>COIS</v>
          </cell>
          <cell r="G179" t="str">
            <v>Host</v>
          </cell>
          <cell r="H179" t="str">
            <v>대덕DC</v>
          </cell>
          <cell r="I179" t="str">
            <v>COIS</v>
          </cell>
        </row>
        <row r="180">
          <cell r="A180" t="str">
            <v>PDMAS16</v>
          </cell>
          <cell r="B180" t="str">
            <v>S01</v>
          </cell>
          <cell r="C180" t="str">
            <v>Y</v>
          </cell>
          <cell r="D180" t="str">
            <v>B</v>
          </cell>
          <cell r="E180" t="str">
            <v>영업</v>
          </cell>
          <cell r="F180" t="str">
            <v>COIS</v>
          </cell>
          <cell r="G180" t="str">
            <v>Host</v>
          </cell>
          <cell r="H180" t="str">
            <v>대덕DC</v>
          </cell>
          <cell r="I180" t="str">
            <v>COIS</v>
          </cell>
        </row>
        <row r="181">
          <cell r="A181" t="str">
            <v>PDMAS31</v>
          </cell>
          <cell r="B181" t="str">
            <v>S02</v>
          </cell>
          <cell r="C181" t="str">
            <v>Y</v>
          </cell>
          <cell r="D181" t="str">
            <v>B</v>
          </cell>
          <cell r="E181" t="str">
            <v>영업</v>
          </cell>
          <cell r="F181" t="str">
            <v>COIS</v>
          </cell>
          <cell r="G181" t="str">
            <v>Host</v>
          </cell>
          <cell r="H181" t="str">
            <v>대덕DC</v>
          </cell>
          <cell r="I181" t="str">
            <v>COIS</v>
          </cell>
        </row>
        <row r="182">
          <cell r="A182" t="str">
            <v>PDMAS32</v>
          </cell>
          <cell r="B182" t="str">
            <v>S02</v>
          </cell>
          <cell r="C182" t="str">
            <v>Y</v>
          </cell>
          <cell r="D182" t="str">
            <v>B</v>
          </cell>
          <cell r="E182" t="str">
            <v>영업</v>
          </cell>
          <cell r="F182" t="str">
            <v>COIS</v>
          </cell>
          <cell r="G182" t="str">
            <v>Host</v>
          </cell>
          <cell r="H182" t="str">
            <v>대덕DC</v>
          </cell>
          <cell r="I182" t="str">
            <v>COIS</v>
          </cell>
        </row>
        <row r="183">
          <cell r="A183" t="str">
            <v>PDMAS33</v>
          </cell>
          <cell r="B183" t="str">
            <v>S02</v>
          </cell>
          <cell r="C183" t="str">
            <v>Y</v>
          </cell>
          <cell r="D183" t="str">
            <v>B</v>
          </cell>
          <cell r="E183" t="str">
            <v>영업</v>
          </cell>
          <cell r="F183" t="str">
            <v>COIS</v>
          </cell>
          <cell r="G183" t="str">
            <v>Host</v>
          </cell>
          <cell r="H183" t="str">
            <v>대덕DC</v>
          </cell>
          <cell r="I183" t="str">
            <v>COIS</v>
          </cell>
        </row>
        <row r="184">
          <cell r="A184" t="str">
            <v>PDMAS34</v>
          </cell>
          <cell r="B184" t="str">
            <v>S02</v>
          </cell>
          <cell r="C184" t="str">
            <v>Y</v>
          </cell>
          <cell r="D184" t="str">
            <v>B</v>
          </cell>
          <cell r="E184" t="str">
            <v>영업</v>
          </cell>
          <cell r="F184" t="str">
            <v>COIS</v>
          </cell>
          <cell r="G184" t="str">
            <v>Host</v>
          </cell>
          <cell r="H184" t="str">
            <v>대덕DC</v>
          </cell>
          <cell r="I184" t="str">
            <v>COIS</v>
          </cell>
        </row>
        <row r="185">
          <cell r="A185" t="str">
            <v>PDMAS35</v>
          </cell>
          <cell r="B185" t="str">
            <v>S02</v>
          </cell>
          <cell r="C185" t="str">
            <v>Y</v>
          </cell>
          <cell r="D185" t="str">
            <v>B</v>
          </cell>
          <cell r="E185" t="str">
            <v>영업</v>
          </cell>
          <cell r="F185" t="str">
            <v>COIS</v>
          </cell>
          <cell r="G185" t="str">
            <v>Host</v>
          </cell>
          <cell r="H185" t="str">
            <v>대덕DC</v>
          </cell>
          <cell r="I185" t="str">
            <v>COIS</v>
          </cell>
        </row>
        <row r="186">
          <cell r="A186" t="str">
            <v>PDMAS36</v>
          </cell>
          <cell r="B186" t="str">
            <v>S02</v>
          </cell>
          <cell r="C186" t="str">
            <v>Y</v>
          </cell>
          <cell r="D186" t="str">
            <v>B</v>
          </cell>
          <cell r="E186" t="str">
            <v>영업</v>
          </cell>
          <cell r="F186" t="str">
            <v>COIS</v>
          </cell>
          <cell r="G186" t="str">
            <v>Host</v>
          </cell>
          <cell r="H186" t="str">
            <v>대덕DC</v>
          </cell>
          <cell r="I186" t="str">
            <v>COIS</v>
          </cell>
        </row>
        <row r="187">
          <cell r="A187" t="str">
            <v>PDMAS51</v>
          </cell>
          <cell r="B187" t="str">
            <v>S07</v>
          </cell>
          <cell r="C187" t="str">
            <v>Y</v>
          </cell>
          <cell r="D187" t="str">
            <v>B</v>
          </cell>
          <cell r="E187" t="str">
            <v>영업</v>
          </cell>
          <cell r="F187" t="str">
            <v>COIS</v>
          </cell>
          <cell r="G187" t="str">
            <v>Host</v>
          </cell>
          <cell r="H187" t="str">
            <v>대덕DC</v>
          </cell>
          <cell r="I187" t="str">
            <v>COIS</v>
          </cell>
        </row>
        <row r="188">
          <cell r="A188" t="str">
            <v>PDMAS52</v>
          </cell>
          <cell r="B188" t="str">
            <v>S07</v>
          </cell>
          <cell r="C188" t="str">
            <v>Y</v>
          </cell>
          <cell r="D188" t="str">
            <v>B</v>
          </cell>
          <cell r="E188" t="str">
            <v>영업</v>
          </cell>
          <cell r="F188" t="str">
            <v>COIS</v>
          </cell>
          <cell r="G188" t="str">
            <v>Host</v>
          </cell>
          <cell r="H188" t="str">
            <v>대덕DC</v>
          </cell>
          <cell r="I188" t="str">
            <v>COIS</v>
          </cell>
        </row>
        <row r="189">
          <cell r="A189" t="str">
            <v>PDMAS53</v>
          </cell>
          <cell r="B189" t="str">
            <v>S07</v>
          </cell>
          <cell r="C189" t="str">
            <v>Y</v>
          </cell>
          <cell r="D189" t="str">
            <v>B</v>
          </cell>
          <cell r="E189" t="str">
            <v>영업</v>
          </cell>
          <cell r="F189" t="str">
            <v>COIS</v>
          </cell>
          <cell r="G189" t="str">
            <v>Host</v>
          </cell>
          <cell r="H189" t="str">
            <v>대덕DC</v>
          </cell>
          <cell r="I189" t="str">
            <v>COIS</v>
          </cell>
        </row>
        <row r="190">
          <cell r="A190" t="str">
            <v>PDMAS54</v>
          </cell>
          <cell r="B190" t="str">
            <v>S07</v>
          </cell>
          <cell r="C190" t="str">
            <v>Y</v>
          </cell>
          <cell r="D190" t="str">
            <v>B</v>
          </cell>
          <cell r="E190" t="str">
            <v>영업</v>
          </cell>
          <cell r="F190" t="str">
            <v>COIS</v>
          </cell>
          <cell r="G190" t="str">
            <v>Host</v>
          </cell>
          <cell r="H190" t="str">
            <v>대덕DC</v>
          </cell>
          <cell r="I190" t="str">
            <v>COIS</v>
          </cell>
        </row>
        <row r="191">
          <cell r="A191" t="str">
            <v>PDMAS55</v>
          </cell>
          <cell r="B191" t="str">
            <v>S07</v>
          </cell>
          <cell r="C191" t="str">
            <v>Y</v>
          </cell>
          <cell r="D191" t="str">
            <v>B</v>
          </cell>
          <cell r="E191" t="str">
            <v>영업</v>
          </cell>
          <cell r="F191" t="str">
            <v>COIS</v>
          </cell>
          <cell r="G191" t="str">
            <v>Host</v>
          </cell>
          <cell r="H191" t="str">
            <v>대덕DC</v>
          </cell>
          <cell r="I191" t="str">
            <v>COIS</v>
          </cell>
        </row>
        <row r="192">
          <cell r="A192" t="str">
            <v>PDMAS56</v>
          </cell>
          <cell r="B192" t="str">
            <v>S07</v>
          </cell>
          <cell r="C192" t="str">
            <v>Y</v>
          </cell>
          <cell r="D192" t="str">
            <v>B</v>
          </cell>
          <cell r="E192" t="str">
            <v>영업</v>
          </cell>
          <cell r="F192" t="str">
            <v>COIS</v>
          </cell>
          <cell r="G192" t="str">
            <v>Host</v>
          </cell>
          <cell r="H192" t="str">
            <v>대덕DC</v>
          </cell>
          <cell r="I192" t="str">
            <v>COIS</v>
          </cell>
        </row>
        <row r="193">
          <cell r="A193" t="str">
            <v>PDMAS41</v>
          </cell>
          <cell r="B193" t="str">
            <v>S06</v>
          </cell>
          <cell r="C193" t="str">
            <v>Y</v>
          </cell>
          <cell r="D193" t="str">
            <v>B</v>
          </cell>
          <cell r="E193" t="str">
            <v>영업</v>
          </cell>
          <cell r="F193" t="str">
            <v>COIS</v>
          </cell>
          <cell r="G193" t="str">
            <v>Host</v>
          </cell>
          <cell r="H193" t="str">
            <v>대덕DC</v>
          </cell>
          <cell r="I193" t="str">
            <v>COIS</v>
          </cell>
        </row>
        <row r="194">
          <cell r="A194" t="str">
            <v>PDMAS42</v>
          </cell>
          <cell r="B194" t="str">
            <v>S06</v>
          </cell>
          <cell r="C194" t="str">
            <v>Y</v>
          </cell>
          <cell r="D194" t="str">
            <v>B</v>
          </cell>
          <cell r="E194" t="str">
            <v>영업</v>
          </cell>
          <cell r="F194" t="str">
            <v>COIS</v>
          </cell>
          <cell r="G194" t="str">
            <v>Host</v>
          </cell>
          <cell r="H194" t="str">
            <v>대덕DC</v>
          </cell>
          <cell r="I194" t="str">
            <v>COIS</v>
          </cell>
        </row>
        <row r="195">
          <cell r="A195" t="str">
            <v>PDMAS43</v>
          </cell>
          <cell r="B195" t="str">
            <v>S06</v>
          </cell>
          <cell r="C195" t="str">
            <v>Y</v>
          </cell>
          <cell r="D195" t="str">
            <v>B</v>
          </cell>
          <cell r="E195" t="str">
            <v>영업</v>
          </cell>
          <cell r="F195" t="str">
            <v>COIS</v>
          </cell>
          <cell r="G195" t="str">
            <v>Host</v>
          </cell>
          <cell r="H195" t="str">
            <v>대덕DC</v>
          </cell>
          <cell r="I195" t="str">
            <v>COIS</v>
          </cell>
        </row>
        <row r="196">
          <cell r="A196" t="str">
            <v>PDMAS44</v>
          </cell>
          <cell r="B196" t="str">
            <v>S06</v>
          </cell>
          <cell r="C196" t="str">
            <v>Y</v>
          </cell>
          <cell r="D196" t="str">
            <v>B</v>
          </cell>
          <cell r="E196" t="str">
            <v>영업</v>
          </cell>
          <cell r="F196" t="str">
            <v>COIS</v>
          </cell>
          <cell r="G196" t="str">
            <v>Host</v>
          </cell>
          <cell r="H196" t="str">
            <v>대덕DC</v>
          </cell>
          <cell r="I196" t="str">
            <v>COIS</v>
          </cell>
        </row>
        <row r="197">
          <cell r="A197" t="str">
            <v>PDMAS45</v>
          </cell>
          <cell r="B197" t="str">
            <v>S06</v>
          </cell>
          <cell r="C197" t="str">
            <v>Y</v>
          </cell>
          <cell r="D197" t="str">
            <v>B</v>
          </cell>
          <cell r="E197" t="str">
            <v>영업</v>
          </cell>
          <cell r="F197" t="str">
            <v>COIS</v>
          </cell>
          <cell r="G197" t="str">
            <v>Host</v>
          </cell>
          <cell r="H197" t="str">
            <v>대덕DC</v>
          </cell>
          <cell r="I197" t="str">
            <v>COIS</v>
          </cell>
        </row>
        <row r="198">
          <cell r="A198" t="str">
            <v>PDMAS46</v>
          </cell>
          <cell r="B198" t="str">
            <v>S06</v>
          </cell>
          <cell r="C198" t="str">
            <v>Y</v>
          </cell>
          <cell r="D198" t="str">
            <v>B</v>
          </cell>
          <cell r="E198" t="str">
            <v>영업</v>
          </cell>
          <cell r="F198" t="str">
            <v>COIS</v>
          </cell>
          <cell r="G198" t="str">
            <v>Host</v>
          </cell>
          <cell r="H198" t="str">
            <v>대덕DC</v>
          </cell>
          <cell r="I198" t="str">
            <v>COIS</v>
          </cell>
        </row>
        <row r="199">
          <cell r="A199" t="str">
            <v>PDMASES</v>
          </cell>
          <cell r="B199" t="str">
            <v>S06</v>
          </cell>
          <cell r="C199" t="str">
            <v>Y</v>
          </cell>
          <cell r="D199" t="str">
            <v>B</v>
          </cell>
          <cell r="E199" t="str">
            <v>영업</v>
          </cell>
          <cell r="F199" t="str">
            <v>COIS</v>
          </cell>
          <cell r="G199" t="str">
            <v>Host</v>
          </cell>
          <cell r="H199" t="str">
            <v>대덕DC</v>
          </cell>
          <cell r="I199" t="str">
            <v>COIS</v>
          </cell>
        </row>
        <row r="200">
          <cell r="A200" t="str">
            <v>PDMASCM</v>
          </cell>
          <cell r="B200" t="str">
            <v>S06</v>
          </cell>
          <cell r="C200" t="str">
            <v>Y</v>
          </cell>
          <cell r="D200" t="str">
            <v>B</v>
          </cell>
          <cell r="E200" t="str">
            <v>영업</v>
          </cell>
          <cell r="F200" t="str">
            <v>COIS</v>
          </cell>
          <cell r="G200" t="str">
            <v>Host</v>
          </cell>
          <cell r="H200" t="str">
            <v>대덕DC</v>
          </cell>
          <cell r="I200" t="str">
            <v>COIS</v>
          </cell>
        </row>
        <row r="201">
          <cell r="A201" t="str">
            <v>PDMASCT</v>
          </cell>
          <cell r="B201" t="str">
            <v>S04</v>
          </cell>
          <cell r="C201" t="str">
            <v>Y</v>
          </cell>
          <cell r="D201" t="str">
            <v>B</v>
          </cell>
          <cell r="E201" t="str">
            <v>청구</v>
          </cell>
          <cell r="F201" t="str">
            <v>CDM</v>
          </cell>
          <cell r="G201" t="str">
            <v>Host</v>
          </cell>
          <cell r="H201" t="str">
            <v>대덕DC</v>
          </cell>
          <cell r="I201" t="str">
            <v>CDM</v>
          </cell>
        </row>
        <row r="202">
          <cell r="A202" t="str">
            <v>PDMASC1</v>
          </cell>
          <cell r="B202" t="str">
            <v>S04</v>
          </cell>
          <cell r="C202" t="str">
            <v>Y</v>
          </cell>
          <cell r="D202" t="str">
            <v>B</v>
          </cell>
          <cell r="E202" t="str">
            <v>청구</v>
          </cell>
          <cell r="F202" t="str">
            <v>CDM</v>
          </cell>
          <cell r="G202" t="str">
            <v>Host</v>
          </cell>
          <cell r="H202" t="str">
            <v>대덕DC</v>
          </cell>
          <cell r="I202" t="str">
            <v>CDM</v>
          </cell>
        </row>
        <row r="203">
          <cell r="A203" t="str">
            <v>telesky1</v>
          </cell>
          <cell r="B203" t="str">
            <v>UX-CPU-HP-00085</v>
          </cell>
          <cell r="C203" t="str">
            <v>Y</v>
          </cell>
          <cell r="D203" t="str">
            <v>B</v>
          </cell>
          <cell r="E203" t="str">
            <v>영업 Internet I/F</v>
          </cell>
          <cell r="F203" t="str">
            <v>캠페인 관리</v>
          </cell>
          <cell r="G203" t="str">
            <v>Host</v>
          </cell>
          <cell r="H203" t="str">
            <v>대전,행정동</v>
          </cell>
          <cell r="I203" t="str">
            <v>CyberMarketing I/F</v>
          </cell>
        </row>
        <row r="204">
          <cell r="A204" t="str">
            <v>r2k_if1</v>
          </cell>
          <cell r="B204" t="str">
            <v>UX-CPU-HP-00086</v>
          </cell>
          <cell r="C204" t="str">
            <v>Y</v>
          </cell>
          <cell r="D204" t="str">
            <v>B</v>
          </cell>
          <cell r="E204" t="str">
            <v>영업 Internet I/F</v>
          </cell>
          <cell r="F204" t="str">
            <v>캠페인 관리</v>
          </cell>
          <cell r="G204" t="str">
            <v>Host</v>
          </cell>
          <cell r="H204" t="str">
            <v>대전,행정동</v>
          </cell>
          <cell r="I204" t="str">
            <v>CyberMarketing I/F</v>
          </cell>
        </row>
        <row r="205">
          <cell r="A205" t="str">
            <v>cmif1</v>
          </cell>
          <cell r="B205" t="str">
            <v>UX-CPU-HP-00120</v>
          </cell>
          <cell r="C205" t="str">
            <v>Y</v>
          </cell>
          <cell r="D205" t="str">
            <v>B</v>
          </cell>
          <cell r="E205" t="str">
            <v>영업 Internet I/F</v>
          </cell>
          <cell r="F205" t="str">
            <v>e-station</v>
          </cell>
          <cell r="G205" t="str">
            <v>Host</v>
          </cell>
          <cell r="H205" t="str">
            <v>대전,행정동</v>
          </cell>
          <cell r="I205" t="str">
            <v>e-station</v>
          </cell>
        </row>
        <row r="206">
          <cell r="C206" t="str">
            <v>합계</v>
          </cell>
        </row>
        <row r="207">
          <cell r="A207" t="str">
            <v>TMIVR1</v>
          </cell>
          <cell r="B207" t="str">
            <v>NT-Server-CPU-ETC-09013</v>
          </cell>
          <cell r="C207" t="str">
            <v>Y</v>
          </cell>
          <cell r="D207" t="str">
            <v>B</v>
          </cell>
          <cell r="E207" t="str">
            <v>CRM 센터</v>
          </cell>
          <cell r="F207" t="str">
            <v>TM 고객 상담 시스템</v>
          </cell>
          <cell r="G207" t="str">
            <v>C/S</v>
          </cell>
          <cell r="H207" t="str">
            <v>동아건설 빌딩</v>
          </cell>
          <cell r="I207" t="str">
            <v>자동응답시스템</v>
          </cell>
        </row>
        <row r="208">
          <cell r="A208" t="str">
            <v>TMIVR2</v>
          </cell>
          <cell r="B208" t="str">
            <v>NT-Server-CPU-ETC-09014</v>
          </cell>
          <cell r="C208" t="str">
            <v>Y</v>
          </cell>
          <cell r="D208" t="str">
            <v>B</v>
          </cell>
          <cell r="E208" t="str">
            <v>CRM 센터</v>
          </cell>
          <cell r="F208" t="str">
            <v>TM 고객 상담 시스템</v>
          </cell>
          <cell r="G208" t="str">
            <v>C/S</v>
          </cell>
          <cell r="H208" t="str">
            <v>동아건설 빌딩</v>
          </cell>
          <cell r="I208" t="str">
            <v>자동응답시스템</v>
          </cell>
        </row>
        <row r="209">
          <cell r="A209" t="str">
            <v>TMIVR3</v>
          </cell>
          <cell r="B209" t="str">
            <v>NT-Server-CPU-ETC-09015</v>
          </cell>
          <cell r="C209" t="str">
            <v>Y</v>
          </cell>
          <cell r="D209" t="str">
            <v>B</v>
          </cell>
          <cell r="E209" t="str">
            <v>CRM 센터</v>
          </cell>
          <cell r="F209" t="str">
            <v>TM 고객 상담 시스템</v>
          </cell>
          <cell r="G209" t="str">
            <v>C/S</v>
          </cell>
          <cell r="H209" t="str">
            <v>동아건설 빌딩</v>
          </cell>
          <cell r="I209" t="str">
            <v>자동응답시스템</v>
          </cell>
        </row>
        <row r="210">
          <cell r="A210" t="str">
            <v>TMIVR4</v>
          </cell>
          <cell r="B210" t="str">
            <v>NT-Server-CPU-ETC-09016</v>
          </cell>
          <cell r="C210" t="str">
            <v>Y</v>
          </cell>
          <cell r="D210" t="str">
            <v>B</v>
          </cell>
          <cell r="E210" t="str">
            <v>CRM 센터</v>
          </cell>
          <cell r="F210" t="str">
            <v>TM 고객 상담 시스템</v>
          </cell>
          <cell r="G210" t="str">
            <v>C/S</v>
          </cell>
          <cell r="H210" t="str">
            <v>동아건설 빌딩</v>
          </cell>
          <cell r="I210" t="str">
            <v>자동응답시스템</v>
          </cell>
        </row>
        <row r="211">
          <cell r="A211" t="str">
            <v>TMIVR5</v>
          </cell>
          <cell r="B211" t="str">
            <v>NT-Server-CPU-ETC-09017</v>
          </cell>
          <cell r="C211" t="str">
            <v>Y</v>
          </cell>
          <cell r="D211" t="str">
            <v>B</v>
          </cell>
          <cell r="E211" t="str">
            <v>CRM 센터</v>
          </cell>
          <cell r="F211" t="str">
            <v>TM 고객 상담 시스템</v>
          </cell>
          <cell r="G211" t="str">
            <v>C/S</v>
          </cell>
          <cell r="H211" t="str">
            <v>동아건설 빌딩</v>
          </cell>
          <cell r="I211" t="str">
            <v>자동응답시스템</v>
          </cell>
        </row>
        <row r="212">
          <cell r="A212" t="str">
            <v>TMIVR6</v>
          </cell>
          <cell r="B212" t="str">
            <v>NT-Server-CPU-ETC-09018</v>
          </cell>
          <cell r="C212" t="str">
            <v>Y</v>
          </cell>
          <cell r="D212" t="str">
            <v>B</v>
          </cell>
          <cell r="E212" t="str">
            <v>CRM 센터</v>
          </cell>
          <cell r="F212" t="str">
            <v>TM 고객 상담 시스템</v>
          </cell>
          <cell r="G212" t="str">
            <v>C/S</v>
          </cell>
          <cell r="H212" t="str">
            <v>동아건설 빌딩</v>
          </cell>
          <cell r="I212" t="str">
            <v>자동응답시스템</v>
          </cell>
        </row>
        <row r="213">
          <cell r="A213" t="str">
            <v>TMIVR7</v>
          </cell>
          <cell r="B213" t="str">
            <v>NT-Server-CPU-ETC-09019</v>
          </cell>
          <cell r="C213" t="str">
            <v>Y</v>
          </cell>
          <cell r="D213" t="str">
            <v>B</v>
          </cell>
          <cell r="E213" t="str">
            <v>CRM 센터</v>
          </cell>
          <cell r="F213" t="str">
            <v>TM 고객 상담 시스템</v>
          </cell>
          <cell r="G213" t="str">
            <v>C/S</v>
          </cell>
          <cell r="H213" t="str">
            <v>동아건설 빌딩</v>
          </cell>
          <cell r="I213" t="str">
            <v>자동응답시스템</v>
          </cell>
        </row>
        <row r="214">
          <cell r="A214" t="str">
            <v>TMREC1</v>
          </cell>
          <cell r="B214" t="str">
            <v>NT-Server-CPU-ETC-09020</v>
          </cell>
          <cell r="C214" t="str">
            <v>Y</v>
          </cell>
          <cell r="D214" t="str">
            <v>B</v>
          </cell>
          <cell r="E214" t="str">
            <v>CRM 센터</v>
          </cell>
          <cell r="F214" t="str">
            <v>TM 고객 상담 시스템</v>
          </cell>
          <cell r="G214" t="str">
            <v>C/S</v>
          </cell>
          <cell r="H214" t="str">
            <v>동아건설 빌딩</v>
          </cell>
          <cell r="I214" t="str">
            <v>상담 통화내용 녹음</v>
          </cell>
        </row>
        <row r="215">
          <cell r="A215" t="str">
            <v>TMREC2</v>
          </cell>
          <cell r="B215" t="str">
            <v>NT-Server-CPU-ETC-09021</v>
          </cell>
          <cell r="C215" t="str">
            <v>Y</v>
          </cell>
          <cell r="D215" t="str">
            <v>B</v>
          </cell>
          <cell r="E215" t="str">
            <v>CRM 센터</v>
          </cell>
          <cell r="F215" t="str">
            <v>TM 고객 상담 시스템</v>
          </cell>
          <cell r="G215" t="str">
            <v>C/S</v>
          </cell>
          <cell r="H215" t="str">
            <v>동아건설 빌딩</v>
          </cell>
          <cell r="I215" t="str">
            <v>상담 통화내용 녹음</v>
          </cell>
        </row>
        <row r="216">
          <cell r="A216" t="str">
            <v>TMREC3</v>
          </cell>
          <cell r="B216" t="str">
            <v>NT-Server-CPU-ETC-09022</v>
          </cell>
          <cell r="C216" t="str">
            <v>Y</v>
          </cell>
          <cell r="D216" t="str">
            <v>B</v>
          </cell>
          <cell r="E216" t="str">
            <v>CRM 센터</v>
          </cell>
          <cell r="F216" t="str">
            <v>TM 고객 상담 시스템</v>
          </cell>
          <cell r="G216" t="str">
            <v>C/S</v>
          </cell>
          <cell r="H216" t="str">
            <v>동아건설 빌딩</v>
          </cell>
          <cell r="I216" t="str">
            <v>상담 통화내용 녹음</v>
          </cell>
        </row>
        <row r="217">
          <cell r="A217" t="str">
            <v>TMREC4</v>
          </cell>
          <cell r="B217" t="str">
            <v>NT-Server-CPU-ETC-09023</v>
          </cell>
          <cell r="C217" t="str">
            <v>Y</v>
          </cell>
          <cell r="D217" t="str">
            <v>B</v>
          </cell>
          <cell r="E217" t="str">
            <v>CRM 센터</v>
          </cell>
          <cell r="F217" t="str">
            <v>TM 고객 상담 시스템</v>
          </cell>
          <cell r="G217" t="str">
            <v>C/S</v>
          </cell>
          <cell r="H217" t="str">
            <v>동아건설 빌딩</v>
          </cell>
          <cell r="I217" t="str">
            <v>상담 통화내용 녹음</v>
          </cell>
        </row>
        <row r="218">
          <cell r="A218" t="str">
            <v>TMREC5</v>
          </cell>
          <cell r="B218" t="str">
            <v>NT-Server-CPU-ETC-09024</v>
          </cell>
          <cell r="C218" t="str">
            <v>Y</v>
          </cell>
          <cell r="D218" t="str">
            <v>B</v>
          </cell>
          <cell r="E218" t="str">
            <v>CRM 센터</v>
          </cell>
          <cell r="F218" t="str">
            <v>TM 고객 상담 시스템</v>
          </cell>
          <cell r="G218" t="str">
            <v>C/S</v>
          </cell>
          <cell r="H218" t="str">
            <v>동아건설 빌딩</v>
          </cell>
          <cell r="I218" t="str">
            <v>상담 통화내용 녹음</v>
          </cell>
        </row>
        <row r="219">
          <cell r="A219" t="str">
            <v>TMREC6</v>
          </cell>
          <cell r="B219" t="str">
            <v>NT-Server-CPU-ETC-09025</v>
          </cell>
          <cell r="C219" t="str">
            <v>Y</v>
          </cell>
          <cell r="D219" t="str">
            <v>B</v>
          </cell>
          <cell r="E219" t="str">
            <v>CRM 센터</v>
          </cell>
          <cell r="F219" t="str">
            <v>TM 고객 상담 시스템</v>
          </cell>
          <cell r="G219" t="str">
            <v>C/S</v>
          </cell>
          <cell r="H219" t="str">
            <v>동아건설 빌딩</v>
          </cell>
          <cell r="I219" t="str">
            <v>상담 통화내용 녹음</v>
          </cell>
        </row>
        <row r="220">
          <cell r="A220" t="str">
            <v>CTI_TM</v>
          </cell>
          <cell r="B220" t="str">
            <v>UX-CPU-HP-00139</v>
          </cell>
          <cell r="C220" t="str">
            <v>Y</v>
          </cell>
          <cell r="D220" t="str">
            <v>B</v>
          </cell>
          <cell r="E220" t="str">
            <v>CRM 센터</v>
          </cell>
          <cell r="F220" t="str">
            <v>TM 고객 상담 시스템</v>
          </cell>
          <cell r="G220" t="str">
            <v>C/S</v>
          </cell>
          <cell r="H220" t="str">
            <v>동아건설 빌딩</v>
          </cell>
          <cell r="I220" t="str">
            <v>캠페인관리 TM - CTI Server</v>
          </cell>
        </row>
        <row r="221">
          <cell r="A221" t="str">
            <v>CTI_TM2</v>
          </cell>
          <cell r="B221" t="str">
            <v>UX-CPU-RS6000-00133</v>
          </cell>
          <cell r="C221" t="str">
            <v>Y</v>
          </cell>
          <cell r="D221" t="str">
            <v>B</v>
          </cell>
          <cell r="E221" t="str">
            <v>CRM 센터</v>
          </cell>
          <cell r="F221" t="str">
            <v>TM 고객 상담 시스템</v>
          </cell>
          <cell r="G221" t="str">
            <v>C/S</v>
          </cell>
          <cell r="H221" t="str">
            <v>동아건설 빌딩</v>
          </cell>
          <cell r="I221" t="str">
            <v>TM CTI Server</v>
          </cell>
        </row>
        <row r="222">
          <cell r="A222" t="str">
            <v>CTI_TM1</v>
          </cell>
          <cell r="B222" t="str">
            <v>UX-CPU-RS6000-00134</v>
          </cell>
          <cell r="C222" t="str">
            <v>Y</v>
          </cell>
          <cell r="D222" t="str">
            <v>B</v>
          </cell>
          <cell r="E222" t="str">
            <v>CRM 센터</v>
          </cell>
          <cell r="F222" t="str">
            <v>TM 고객 상담 시스템</v>
          </cell>
          <cell r="G222" t="str">
            <v>C/S</v>
          </cell>
          <cell r="H222" t="str">
            <v>동아건설 빌딩</v>
          </cell>
          <cell r="I222" t="str">
            <v>TM DB Server</v>
          </cell>
        </row>
        <row r="223">
          <cell r="A223" t="str">
            <v>BDS03</v>
          </cell>
          <cell r="B223" t="str">
            <v>UX-CPU-TANDEM-00013</v>
          </cell>
          <cell r="C223" t="str">
            <v>Y</v>
          </cell>
          <cell r="D223" t="str">
            <v>B</v>
          </cell>
          <cell r="E223" t="str">
            <v>청구</v>
          </cell>
          <cell r="F223" t="str">
            <v>착신정산과금</v>
          </cell>
          <cell r="G223" t="str">
            <v>C/S</v>
          </cell>
          <cell r="H223" t="str">
            <v>대전,행정동</v>
          </cell>
          <cell r="I223" t="str">
            <v>착신정산</v>
          </cell>
        </row>
        <row r="224">
          <cell r="A224" t="str">
            <v>BDS03</v>
          </cell>
          <cell r="B224" t="str">
            <v>UX-CPU-TANDEM-00014</v>
          </cell>
          <cell r="C224" t="str">
            <v>Y</v>
          </cell>
          <cell r="D224" t="str">
            <v>B</v>
          </cell>
          <cell r="E224" t="str">
            <v>청구</v>
          </cell>
          <cell r="F224" t="str">
            <v>착신정산과금</v>
          </cell>
          <cell r="G224" t="str">
            <v>C/S</v>
          </cell>
          <cell r="H224" t="str">
            <v>대전,행정동</v>
          </cell>
          <cell r="I224" t="str">
            <v>착신정산</v>
          </cell>
        </row>
        <row r="225">
          <cell r="A225" t="str">
            <v>BDS03</v>
          </cell>
          <cell r="B225" t="str">
            <v>UX-CPU-TANDEM-00015</v>
          </cell>
          <cell r="C225" t="str">
            <v>Y</v>
          </cell>
          <cell r="D225" t="str">
            <v>B</v>
          </cell>
          <cell r="E225" t="str">
            <v>청구</v>
          </cell>
          <cell r="F225" t="str">
            <v>착신정산과금</v>
          </cell>
          <cell r="G225" t="str">
            <v>C/S</v>
          </cell>
          <cell r="H225" t="str">
            <v>대전,행정동</v>
          </cell>
          <cell r="I225" t="str">
            <v>착신정산</v>
          </cell>
        </row>
        <row r="226">
          <cell r="A226" t="str">
            <v>sptb9(spsam9)</v>
          </cell>
          <cell r="B226" t="str">
            <v>UX-CPU-RS6000-00015</v>
          </cell>
          <cell r="C226" t="str">
            <v>Y</v>
          </cell>
          <cell r="D226" t="str">
            <v>B</v>
          </cell>
          <cell r="E226" t="str">
            <v>청구</v>
          </cell>
          <cell r="F226" t="str">
            <v>텔레뱅킹 시스템</v>
          </cell>
          <cell r="G226" t="str">
            <v>C/S</v>
          </cell>
          <cell r="H226" t="str">
            <v>대전,연구동</v>
          </cell>
          <cell r="I226" t="str">
            <v>Telebanking</v>
          </cell>
        </row>
        <row r="227">
          <cell r="A227" t="str">
            <v>bds01</v>
          </cell>
          <cell r="B227" t="str">
            <v>UX-CPU-TANDEM-00001</v>
          </cell>
          <cell r="C227" t="str">
            <v>Y</v>
          </cell>
          <cell r="D227" t="str">
            <v>B</v>
          </cell>
          <cell r="E227" t="str">
            <v>청구</v>
          </cell>
          <cell r="F227" t="str">
            <v>BDS</v>
          </cell>
          <cell r="G227" t="str">
            <v>C/S</v>
          </cell>
          <cell r="H227" t="str">
            <v>보라매</v>
          </cell>
          <cell r="I227" t="str">
            <v>BDS01 Group #01 (CPU #0,UPS1)</v>
          </cell>
        </row>
        <row r="228">
          <cell r="A228" t="str">
            <v>bds01</v>
          </cell>
          <cell r="B228" t="str">
            <v>UX-CPU-TANDEM-00002</v>
          </cell>
          <cell r="C228" t="str">
            <v>Y</v>
          </cell>
          <cell r="D228" t="str">
            <v>B</v>
          </cell>
          <cell r="E228" t="str">
            <v>청구</v>
          </cell>
          <cell r="F228" t="str">
            <v>BDS</v>
          </cell>
          <cell r="G228" t="str">
            <v>C/S</v>
          </cell>
          <cell r="H228" t="str">
            <v>보라매</v>
          </cell>
          <cell r="I228" t="str">
            <v>BDS01 Group #02 (CPU UPS2,#3)</v>
          </cell>
        </row>
        <row r="229">
          <cell r="A229" t="str">
            <v>bds01</v>
          </cell>
          <cell r="B229" t="str">
            <v>UX-CPU-TANDEM-00003</v>
          </cell>
          <cell r="C229" t="str">
            <v>Y</v>
          </cell>
          <cell r="D229" t="str">
            <v>B</v>
          </cell>
          <cell r="E229" t="str">
            <v>청구</v>
          </cell>
          <cell r="F229" t="str">
            <v>BDS</v>
          </cell>
          <cell r="G229" t="str">
            <v>C/S</v>
          </cell>
          <cell r="H229" t="str">
            <v>보라매</v>
          </cell>
          <cell r="I229" t="str">
            <v>BDS01 Group #03 (CPU #4,#5)</v>
          </cell>
        </row>
        <row r="230">
          <cell r="A230" t="str">
            <v>bds01</v>
          </cell>
          <cell r="B230" t="str">
            <v>UX-CPU-TANDEM-00004</v>
          </cell>
          <cell r="C230" t="str">
            <v>Y</v>
          </cell>
          <cell r="D230" t="str">
            <v>B</v>
          </cell>
          <cell r="E230" t="str">
            <v>청구</v>
          </cell>
          <cell r="F230" t="str">
            <v>BDS</v>
          </cell>
          <cell r="G230" t="str">
            <v>C/S</v>
          </cell>
          <cell r="H230" t="str">
            <v>보라매</v>
          </cell>
          <cell r="I230" t="str">
            <v>BDS01 Group #04 (CPU #6,#7)</v>
          </cell>
        </row>
        <row r="231">
          <cell r="A231" t="str">
            <v>bds02</v>
          </cell>
          <cell r="B231" t="str">
            <v>UX-CPU-TANDEM-00005</v>
          </cell>
          <cell r="C231" t="str">
            <v>Y</v>
          </cell>
          <cell r="D231" t="str">
            <v>B</v>
          </cell>
          <cell r="E231" t="str">
            <v>청구</v>
          </cell>
          <cell r="F231" t="str">
            <v>BDS</v>
          </cell>
          <cell r="G231" t="str">
            <v>C/S</v>
          </cell>
          <cell r="H231" t="str">
            <v>보라매</v>
          </cell>
          <cell r="I231" t="str">
            <v>BDS02 Group #01 (CPU #0,UPS1)</v>
          </cell>
        </row>
        <row r="232">
          <cell r="A232" t="str">
            <v>bds02</v>
          </cell>
          <cell r="B232" t="str">
            <v>UX-CPU-TANDEM-00006</v>
          </cell>
          <cell r="C232" t="str">
            <v>Y</v>
          </cell>
          <cell r="D232" t="str">
            <v>B</v>
          </cell>
          <cell r="E232" t="str">
            <v>청구</v>
          </cell>
          <cell r="F232" t="str">
            <v>BDS</v>
          </cell>
          <cell r="G232" t="str">
            <v>C/S</v>
          </cell>
          <cell r="H232" t="str">
            <v>보라매</v>
          </cell>
          <cell r="I232" t="str">
            <v>BDS02 Group #02 (CPU UPS2,#3)</v>
          </cell>
        </row>
        <row r="233">
          <cell r="A233" t="str">
            <v>bds01</v>
          </cell>
          <cell r="B233" t="str">
            <v>UX-CPU-TANDEM-00007</v>
          </cell>
          <cell r="C233" t="str">
            <v>Y</v>
          </cell>
          <cell r="D233" t="str">
            <v>B</v>
          </cell>
          <cell r="E233" t="str">
            <v>청구</v>
          </cell>
          <cell r="F233" t="str">
            <v>BDS</v>
          </cell>
          <cell r="G233" t="str">
            <v>C/S</v>
          </cell>
          <cell r="H233" t="str">
            <v>보라매</v>
          </cell>
          <cell r="I233" t="str">
            <v>BDS01 Group #05 (CPU #8,#9)</v>
          </cell>
        </row>
        <row r="234">
          <cell r="A234" t="str">
            <v>bds01</v>
          </cell>
          <cell r="B234" t="str">
            <v>UX-CPU-TANDEM-00008</v>
          </cell>
          <cell r="C234" t="str">
            <v>Y</v>
          </cell>
          <cell r="D234" t="str">
            <v>B</v>
          </cell>
          <cell r="E234" t="str">
            <v>청구</v>
          </cell>
          <cell r="F234" t="str">
            <v>BDS</v>
          </cell>
          <cell r="G234" t="str">
            <v>C/S</v>
          </cell>
          <cell r="H234" t="str">
            <v>보라매</v>
          </cell>
          <cell r="I234" t="str">
            <v>BDS01 Group #06 (CPU UPS10,UPS11)</v>
          </cell>
        </row>
        <row r="235">
          <cell r="A235" t="str">
            <v>bds01</v>
          </cell>
          <cell r="B235" t="str">
            <v>UX-CPU-TANDEM-00009</v>
          </cell>
          <cell r="C235" t="str">
            <v>Y</v>
          </cell>
          <cell r="D235" t="str">
            <v>B</v>
          </cell>
          <cell r="E235" t="str">
            <v>청구</v>
          </cell>
          <cell r="F235" t="str">
            <v>BDS</v>
          </cell>
          <cell r="G235" t="str">
            <v>C/S</v>
          </cell>
          <cell r="H235" t="str">
            <v>보라매</v>
          </cell>
          <cell r="I235" t="str">
            <v>BDS01 Group #07 (CPU UPS12,UPS13)</v>
          </cell>
        </row>
        <row r="236">
          <cell r="A236" t="str">
            <v>bds01</v>
          </cell>
          <cell r="B236" t="str">
            <v>UX-CPU-TANDEM-00010</v>
          </cell>
          <cell r="C236" t="str">
            <v>Y</v>
          </cell>
          <cell r="D236" t="str">
            <v>B</v>
          </cell>
          <cell r="E236" t="str">
            <v>청구</v>
          </cell>
          <cell r="F236" t="str">
            <v>BDS</v>
          </cell>
          <cell r="G236" t="str">
            <v>C/S</v>
          </cell>
          <cell r="H236" t="str">
            <v>보라매</v>
          </cell>
          <cell r="I236" t="str">
            <v>BDS01 Group #08 (CPU UPS14,UPS15)</v>
          </cell>
        </row>
        <row r="237">
          <cell r="A237" t="str">
            <v>bds02</v>
          </cell>
          <cell r="B237" t="str">
            <v>UX-CPU-TANDEM-00011</v>
          </cell>
          <cell r="C237" t="str">
            <v>Y</v>
          </cell>
          <cell r="D237" t="str">
            <v>B</v>
          </cell>
          <cell r="E237" t="str">
            <v>청구</v>
          </cell>
          <cell r="F237" t="str">
            <v>BDS</v>
          </cell>
          <cell r="G237" t="str">
            <v>C/S</v>
          </cell>
          <cell r="H237" t="str">
            <v>보라매</v>
          </cell>
          <cell r="I237" t="str">
            <v>BDS02 Group #03 (CPU #4,#5)</v>
          </cell>
        </row>
        <row r="238">
          <cell r="A238" t="str">
            <v>bds02</v>
          </cell>
          <cell r="B238" t="str">
            <v>UX-CPU-TANDEM-00012</v>
          </cell>
          <cell r="C238" t="str">
            <v>Y</v>
          </cell>
          <cell r="D238" t="str">
            <v>B</v>
          </cell>
          <cell r="E238" t="str">
            <v>청구</v>
          </cell>
          <cell r="F238" t="str">
            <v>BDS</v>
          </cell>
          <cell r="G238" t="str">
            <v>C/S</v>
          </cell>
          <cell r="H238" t="str">
            <v>보라매</v>
          </cell>
          <cell r="I238" t="str">
            <v>BDS02 Group #04 (CPU #6,#7)</v>
          </cell>
        </row>
        <row r="239">
          <cell r="A239" t="str">
            <v>bds02</v>
          </cell>
          <cell r="B239" t="str">
            <v>UX-CPU-TANDEM-00016</v>
          </cell>
          <cell r="C239" t="str">
            <v>Y</v>
          </cell>
          <cell r="D239" t="str">
            <v>B</v>
          </cell>
          <cell r="E239" t="str">
            <v>청구</v>
          </cell>
          <cell r="F239" t="str">
            <v>BDS</v>
          </cell>
          <cell r="G239" t="str">
            <v>C/S</v>
          </cell>
          <cell r="H239" t="str">
            <v>보라매</v>
          </cell>
          <cell r="I239" t="str">
            <v>BDS02 Group #05 (CPU #8,#9)</v>
          </cell>
        </row>
        <row r="240">
          <cell r="A240" t="str">
            <v>gsmdb01</v>
          </cell>
          <cell r="B240" t="str">
            <v>UX-CPU-SUN-10004</v>
          </cell>
          <cell r="C240" t="str">
            <v>Y</v>
          </cell>
          <cell r="D240" t="str">
            <v>B</v>
          </cell>
          <cell r="E240" t="str">
            <v>청구</v>
          </cell>
          <cell r="F240" t="str">
            <v>BDS</v>
          </cell>
          <cell r="G240" t="str">
            <v>C/S</v>
          </cell>
          <cell r="H240" t="str">
            <v>보라매</v>
          </cell>
          <cell r="I240" t="str">
            <v>SKT EV-DO및GSM 로밍 빌링 기능</v>
          </cell>
        </row>
        <row r="241">
          <cell r="A241" t="str">
            <v>gsmdb02</v>
          </cell>
          <cell r="B241" t="str">
            <v>UX-CPU-SUN-10005</v>
          </cell>
          <cell r="C241" t="str">
            <v>Y</v>
          </cell>
          <cell r="D241" t="str">
            <v>B</v>
          </cell>
          <cell r="E241" t="str">
            <v>청구</v>
          </cell>
          <cell r="F241" t="str">
            <v>BDS</v>
          </cell>
          <cell r="G241" t="str">
            <v>C/S</v>
          </cell>
          <cell r="H241" t="str">
            <v>보라매</v>
          </cell>
          <cell r="I241" t="str">
            <v>SKT EV-DO및GSM 로밍 빌링 기능</v>
          </cell>
        </row>
        <row r="242">
          <cell r="A242" t="str">
            <v>bds02</v>
          </cell>
          <cell r="B242" t="str">
            <v>UX-CPU-TANDEM-10001</v>
          </cell>
          <cell r="C242" t="str">
            <v>Y</v>
          </cell>
          <cell r="D242" t="str">
            <v>B</v>
          </cell>
          <cell r="E242" t="str">
            <v>청구</v>
          </cell>
          <cell r="F242" t="str">
            <v>BDS</v>
          </cell>
          <cell r="G242" t="str">
            <v>C/S</v>
          </cell>
          <cell r="H242" t="str">
            <v>보라매</v>
          </cell>
          <cell r="I242" t="str">
            <v>BDS과금,부가서비스</v>
          </cell>
        </row>
        <row r="243">
          <cell r="A243" t="str">
            <v>OAM01</v>
          </cell>
          <cell r="B243" t="str">
            <v>NT-Server-CPU-HP-08000</v>
          </cell>
          <cell r="C243" t="str">
            <v>Y</v>
          </cell>
          <cell r="D243" t="str">
            <v>B</v>
          </cell>
          <cell r="E243" t="str">
            <v>청구</v>
          </cell>
          <cell r="F243" t="str">
            <v>N-top 과금 시스템</v>
          </cell>
          <cell r="G243" t="str">
            <v>C/S</v>
          </cell>
          <cell r="H243" t="str">
            <v>보라매</v>
          </cell>
          <cell r="I243" t="str">
            <v>ntop-billing console</v>
          </cell>
        </row>
        <row r="244">
          <cell r="A244" t="str">
            <v>OAM02</v>
          </cell>
          <cell r="B244" t="str">
            <v>NT-Server-CPU-HP-08001</v>
          </cell>
          <cell r="C244" t="str">
            <v>Y</v>
          </cell>
          <cell r="D244" t="str">
            <v>B</v>
          </cell>
          <cell r="E244" t="str">
            <v>청구</v>
          </cell>
          <cell r="F244" t="str">
            <v>N-top 과금 시스템</v>
          </cell>
          <cell r="G244" t="str">
            <v>C/S</v>
          </cell>
          <cell r="H244" t="str">
            <v>보라매</v>
          </cell>
          <cell r="I244" t="str">
            <v>ntop billing console</v>
          </cell>
        </row>
        <row r="245">
          <cell r="A245" t="str">
            <v>ntopb01</v>
          </cell>
          <cell r="B245" t="str">
            <v>UX-CPU-HP-00083</v>
          </cell>
          <cell r="C245" t="str">
            <v>Y</v>
          </cell>
          <cell r="D245" t="str">
            <v>B</v>
          </cell>
          <cell r="E245" t="str">
            <v>청구</v>
          </cell>
          <cell r="F245" t="str">
            <v>N-top 과금 시스템</v>
          </cell>
          <cell r="G245" t="str">
            <v>C/S</v>
          </cell>
          <cell r="H245" t="str">
            <v>보라매</v>
          </cell>
          <cell r="I245" t="str">
            <v>n-Top Billing 1</v>
          </cell>
        </row>
        <row r="246">
          <cell r="A246" t="str">
            <v>ntopb02</v>
          </cell>
          <cell r="B246" t="str">
            <v>UX-CPU-HP-00084</v>
          </cell>
          <cell r="C246" t="str">
            <v>Y</v>
          </cell>
          <cell r="D246" t="str">
            <v>B</v>
          </cell>
          <cell r="E246" t="str">
            <v>청구</v>
          </cell>
          <cell r="F246" t="str">
            <v>N-top 과금 시스템</v>
          </cell>
          <cell r="G246" t="str">
            <v>C/S</v>
          </cell>
          <cell r="H246" t="str">
            <v>보라매</v>
          </cell>
          <cell r="I246" t="str">
            <v>n-Top Billing 2</v>
          </cell>
        </row>
        <row r="247">
          <cell r="A247" t="str">
            <v>SKCABS2</v>
          </cell>
          <cell r="B247" t="str">
            <v>NT-Server-CPU-Compaq-08012</v>
          </cell>
          <cell r="C247" t="str">
            <v>Y</v>
          </cell>
          <cell r="D247" t="str">
            <v>B</v>
          </cell>
          <cell r="E247" t="str">
            <v>정산/결산</v>
          </cell>
          <cell r="F247" t="str">
            <v>SK텔링크 정산시스템</v>
          </cell>
          <cell r="G247" t="str">
            <v>C/S</v>
          </cell>
          <cell r="H247" t="str">
            <v>보라매</v>
          </cell>
          <cell r="I247" t="str">
            <v>텔링크정산시스템</v>
          </cell>
        </row>
        <row r="248">
          <cell r="A248" t="str">
            <v>SKCABS</v>
          </cell>
          <cell r="B248" t="str">
            <v>NT-Server-CPU-Compaq-08143</v>
          </cell>
          <cell r="C248" t="str">
            <v>Y</v>
          </cell>
          <cell r="D248" t="str">
            <v>B</v>
          </cell>
          <cell r="E248" t="str">
            <v>정산/결산</v>
          </cell>
          <cell r="F248" t="str">
            <v>SK텔링크 정산시스템</v>
          </cell>
          <cell r="G248" t="str">
            <v>C/S</v>
          </cell>
          <cell r="H248" t="str">
            <v>보라매</v>
          </cell>
          <cell r="I248" t="str">
            <v>텔링크정산시스템</v>
          </cell>
        </row>
        <row r="249">
          <cell r="A249" t="str">
            <v>air</v>
          </cell>
          <cell r="B249" t="str">
            <v>UX-CPU-RS6000-00081</v>
          </cell>
          <cell r="C249" t="str">
            <v>Y</v>
          </cell>
          <cell r="D249" t="str">
            <v>B</v>
          </cell>
          <cell r="E249" t="str">
            <v>미납</v>
          </cell>
          <cell r="F249" t="str">
            <v>종합 채권 관리</v>
          </cell>
          <cell r="G249" t="str">
            <v>C/S</v>
          </cell>
          <cell r="H249" t="str">
            <v>대전,연구동</v>
          </cell>
          <cell r="I249" t="str">
            <v>채권관리용</v>
          </cell>
        </row>
        <row r="250">
          <cell r="A250" t="str">
            <v>sky</v>
          </cell>
          <cell r="B250" t="str">
            <v>UX-CPU-RS6000-00082</v>
          </cell>
          <cell r="C250" t="str">
            <v>Y</v>
          </cell>
          <cell r="D250" t="str">
            <v>B</v>
          </cell>
          <cell r="E250" t="str">
            <v>미납</v>
          </cell>
          <cell r="F250" t="str">
            <v>종합 채권 관리</v>
          </cell>
          <cell r="G250" t="str">
            <v>C/S</v>
          </cell>
          <cell r="H250" t="str">
            <v>대전,연구동</v>
          </cell>
          <cell r="I250" t="str">
            <v>채권관리용</v>
          </cell>
        </row>
        <row r="251">
          <cell r="A251" t="str">
            <v>10ACS_SVR</v>
          </cell>
          <cell r="B251" t="str">
            <v>NT-Server-CPU-ETC-09144</v>
          </cell>
          <cell r="C251" t="str">
            <v>Y</v>
          </cell>
          <cell r="D251" t="str">
            <v>B</v>
          </cell>
          <cell r="E251" t="str">
            <v>고객상담(미납)</v>
          </cell>
          <cell r="F251" t="str">
            <v>CMIS-미납</v>
          </cell>
          <cell r="G251" t="str">
            <v>C/S</v>
          </cell>
          <cell r="H251" t="str">
            <v>구로 콜센터</v>
          </cell>
          <cell r="I251" t="str">
            <v>미납 ACS 서버</v>
          </cell>
        </row>
        <row r="252">
          <cell r="A252" t="str">
            <v>ACS101</v>
          </cell>
          <cell r="B252" t="str">
            <v>NT-Server-CPU-ETC-09145</v>
          </cell>
          <cell r="C252" t="str">
            <v>Y</v>
          </cell>
          <cell r="D252" t="str">
            <v>B</v>
          </cell>
          <cell r="E252" t="str">
            <v>고객상담(미납)</v>
          </cell>
          <cell r="F252" t="str">
            <v>CMIS-미납</v>
          </cell>
          <cell r="G252" t="str">
            <v>C/S</v>
          </cell>
          <cell r="H252" t="str">
            <v>구로 콜센터</v>
          </cell>
          <cell r="I252" t="str">
            <v>Auto Call 서비스</v>
          </cell>
        </row>
        <row r="253">
          <cell r="A253" t="str">
            <v>ACS102</v>
          </cell>
          <cell r="B253" t="str">
            <v>NT-Server-CPU-ETC-09146</v>
          </cell>
          <cell r="C253" t="str">
            <v>Y</v>
          </cell>
          <cell r="D253" t="str">
            <v>B</v>
          </cell>
          <cell r="E253" t="str">
            <v>고객상담(미납)</v>
          </cell>
          <cell r="F253" t="str">
            <v>CMIS-미납</v>
          </cell>
          <cell r="G253" t="str">
            <v>C/S</v>
          </cell>
          <cell r="H253" t="str">
            <v>구로 콜센터</v>
          </cell>
          <cell r="I253" t="str">
            <v>Auto Call 서비스</v>
          </cell>
        </row>
        <row r="254">
          <cell r="A254" t="str">
            <v>ACS103</v>
          </cell>
          <cell r="B254" t="str">
            <v>NT-Server-CPU-ETC-09147</v>
          </cell>
          <cell r="C254" t="str">
            <v>Y</v>
          </cell>
          <cell r="D254" t="str">
            <v>B</v>
          </cell>
          <cell r="E254" t="str">
            <v>고객상담(미납)</v>
          </cell>
          <cell r="F254" t="str">
            <v>CMIS-미납</v>
          </cell>
          <cell r="G254" t="str">
            <v>C/S</v>
          </cell>
          <cell r="H254" t="str">
            <v>구로 콜센터</v>
          </cell>
          <cell r="I254" t="str">
            <v>Auto Call 서비스</v>
          </cell>
        </row>
        <row r="255">
          <cell r="A255" t="str">
            <v>ACS104</v>
          </cell>
          <cell r="B255" t="str">
            <v>NT-Server-CPU-ETC-09148</v>
          </cell>
          <cell r="C255" t="str">
            <v>Y</v>
          </cell>
          <cell r="D255" t="str">
            <v>B</v>
          </cell>
          <cell r="E255" t="str">
            <v>고객상담(미납)</v>
          </cell>
          <cell r="F255" t="str">
            <v>CMIS-미납</v>
          </cell>
          <cell r="G255" t="str">
            <v>C/S</v>
          </cell>
          <cell r="H255" t="str">
            <v>구로 콜센터</v>
          </cell>
          <cell r="I255" t="str">
            <v>Auto Call 서비스</v>
          </cell>
        </row>
        <row r="256">
          <cell r="A256" t="str">
            <v>ACS105</v>
          </cell>
          <cell r="B256" t="str">
            <v>NT-Server-CPU-ETC-09149</v>
          </cell>
          <cell r="C256" t="str">
            <v>Y</v>
          </cell>
          <cell r="D256" t="str">
            <v>B</v>
          </cell>
          <cell r="E256" t="str">
            <v>고객상담(미납)</v>
          </cell>
          <cell r="F256" t="str">
            <v>CMIS-미납</v>
          </cell>
          <cell r="G256" t="str">
            <v>C/S</v>
          </cell>
          <cell r="H256" t="str">
            <v>구로 콜센터</v>
          </cell>
          <cell r="I256" t="str">
            <v>Auto Call 서비스</v>
          </cell>
        </row>
        <row r="257">
          <cell r="A257" t="str">
            <v>ACS106</v>
          </cell>
          <cell r="B257" t="str">
            <v>NT-Server-CPU-ETC-09150</v>
          </cell>
          <cell r="C257" t="str">
            <v>Y</v>
          </cell>
          <cell r="D257" t="str">
            <v>B</v>
          </cell>
          <cell r="E257" t="str">
            <v>고객상담(미납)</v>
          </cell>
          <cell r="F257" t="str">
            <v>CMIS-미납</v>
          </cell>
          <cell r="G257" t="str">
            <v>C/S</v>
          </cell>
          <cell r="H257" t="str">
            <v>구로 콜센터</v>
          </cell>
          <cell r="I257" t="str">
            <v>Auto Call 서비스</v>
          </cell>
        </row>
        <row r="258">
          <cell r="A258" t="str">
            <v>ACS107</v>
          </cell>
          <cell r="B258" t="str">
            <v>NT-Server-CPU-ETC-09151</v>
          </cell>
          <cell r="C258" t="str">
            <v>Y</v>
          </cell>
          <cell r="D258" t="str">
            <v>B</v>
          </cell>
          <cell r="E258" t="str">
            <v>고객상담(미납)</v>
          </cell>
          <cell r="F258" t="str">
            <v>CMIS-미납</v>
          </cell>
          <cell r="G258" t="str">
            <v>C/S</v>
          </cell>
          <cell r="H258" t="str">
            <v>구로 콜센터</v>
          </cell>
          <cell r="I258" t="str">
            <v>Auto Call 서비스</v>
          </cell>
        </row>
        <row r="259">
          <cell r="A259" t="str">
            <v>ACS108</v>
          </cell>
          <cell r="B259" t="str">
            <v>NT-Server-CPU-ETC-09152</v>
          </cell>
          <cell r="C259" t="str">
            <v>Y</v>
          </cell>
          <cell r="D259" t="str">
            <v>B</v>
          </cell>
          <cell r="E259" t="str">
            <v>고객상담(미납)</v>
          </cell>
          <cell r="F259" t="str">
            <v>CMIS-미납</v>
          </cell>
          <cell r="G259" t="str">
            <v>C/S</v>
          </cell>
          <cell r="H259" t="str">
            <v>구로 콜센터</v>
          </cell>
          <cell r="I259" t="str">
            <v>Auto Call 서비스</v>
          </cell>
        </row>
        <row r="260">
          <cell r="A260" t="str">
            <v>ACS109</v>
          </cell>
          <cell r="B260" t="str">
            <v>NT-Server-CPU-ETC-09153</v>
          </cell>
          <cell r="C260" t="str">
            <v>Y</v>
          </cell>
          <cell r="D260" t="str">
            <v>B</v>
          </cell>
          <cell r="E260" t="str">
            <v>고객상담(미납)</v>
          </cell>
          <cell r="F260" t="str">
            <v>CMIS-미납</v>
          </cell>
          <cell r="G260" t="str">
            <v>C/S</v>
          </cell>
          <cell r="H260" t="str">
            <v>구로 콜센터</v>
          </cell>
          <cell r="I260" t="str">
            <v>Auto Call 서비스</v>
          </cell>
        </row>
        <row r="261">
          <cell r="A261" t="str">
            <v>ACS110</v>
          </cell>
          <cell r="B261" t="str">
            <v>NT-Server-CPU-ETC-09154</v>
          </cell>
          <cell r="C261" t="str">
            <v>Y</v>
          </cell>
          <cell r="D261" t="str">
            <v>B</v>
          </cell>
          <cell r="E261" t="str">
            <v>고객상담(미납)</v>
          </cell>
          <cell r="F261" t="str">
            <v>CMIS-미납</v>
          </cell>
          <cell r="G261" t="str">
            <v>C/S</v>
          </cell>
          <cell r="H261" t="str">
            <v>구로 콜센터</v>
          </cell>
          <cell r="I261" t="str">
            <v>Auto Call 서비스</v>
          </cell>
        </row>
        <row r="262">
          <cell r="A262" t="str">
            <v>ACS111</v>
          </cell>
          <cell r="B262" t="str">
            <v>NT-Server-CPU-ETC-09155</v>
          </cell>
          <cell r="C262" t="str">
            <v>Y</v>
          </cell>
          <cell r="D262" t="str">
            <v>B</v>
          </cell>
          <cell r="E262" t="str">
            <v>고객상담(미납)</v>
          </cell>
          <cell r="F262" t="str">
            <v>CMIS-미납</v>
          </cell>
          <cell r="G262" t="str">
            <v>C/S</v>
          </cell>
          <cell r="H262" t="str">
            <v>구로 콜센터</v>
          </cell>
          <cell r="I262" t="str">
            <v>Auto Call 서비스</v>
          </cell>
        </row>
        <row r="263">
          <cell r="A263" t="str">
            <v>ACS112</v>
          </cell>
          <cell r="B263" t="str">
            <v>NT-Server-CPU-ETC-09156</v>
          </cell>
          <cell r="C263" t="str">
            <v>Y</v>
          </cell>
          <cell r="D263" t="str">
            <v>B</v>
          </cell>
          <cell r="E263" t="str">
            <v>고객상담(미납)</v>
          </cell>
          <cell r="F263" t="str">
            <v>CMIS-미납</v>
          </cell>
          <cell r="G263" t="str">
            <v>C/S</v>
          </cell>
          <cell r="H263" t="str">
            <v>구로 콜센터</v>
          </cell>
          <cell r="I263" t="str">
            <v>Auto Call 서비스</v>
          </cell>
        </row>
        <row r="264">
          <cell r="A264" t="str">
            <v>ACS113</v>
          </cell>
          <cell r="B264" t="str">
            <v>NT-Server-CPU-ETC-09157</v>
          </cell>
          <cell r="C264" t="str">
            <v>Y</v>
          </cell>
          <cell r="D264" t="str">
            <v>B</v>
          </cell>
          <cell r="E264" t="str">
            <v>고객상담(미납)</v>
          </cell>
          <cell r="F264" t="str">
            <v>CMIS-미납</v>
          </cell>
          <cell r="G264" t="str">
            <v>C/S</v>
          </cell>
          <cell r="H264" t="str">
            <v>구로 콜센터</v>
          </cell>
          <cell r="I264" t="str">
            <v>Auto Call 서비스</v>
          </cell>
        </row>
        <row r="265">
          <cell r="A265" t="str">
            <v>ACS114</v>
          </cell>
          <cell r="B265" t="str">
            <v>NT-Server-CPU-ETC-09158</v>
          </cell>
          <cell r="C265" t="str">
            <v>Y</v>
          </cell>
          <cell r="D265" t="str">
            <v>B</v>
          </cell>
          <cell r="E265" t="str">
            <v>고객상담(미납)</v>
          </cell>
          <cell r="F265" t="str">
            <v>CMIS-미납</v>
          </cell>
          <cell r="G265" t="str">
            <v>C/S</v>
          </cell>
          <cell r="H265" t="str">
            <v>구로 콜센터</v>
          </cell>
          <cell r="I265" t="str">
            <v>Auto Call 서비스</v>
          </cell>
        </row>
        <row r="266">
          <cell r="A266" t="str">
            <v>ACS115</v>
          </cell>
          <cell r="B266" t="str">
            <v>NT-Server-CPU-ETC-09159</v>
          </cell>
          <cell r="C266" t="str">
            <v>Y</v>
          </cell>
          <cell r="D266" t="str">
            <v>B</v>
          </cell>
          <cell r="E266" t="str">
            <v>고객상담(미납)</v>
          </cell>
          <cell r="F266" t="str">
            <v>CMIS-미납</v>
          </cell>
          <cell r="G266" t="str">
            <v>C/S</v>
          </cell>
          <cell r="H266" t="str">
            <v>구로 콜센터</v>
          </cell>
          <cell r="I266" t="str">
            <v>Auto Call 서비스</v>
          </cell>
        </row>
        <row r="267">
          <cell r="A267" t="str">
            <v>ACS116</v>
          </cell>
          <cell r="B267" t="str">
            <v>NT-Server-CPU-ETC-09160</v>
          </cell>
          <cell r="C267" t="str">
            <v>Y</v>
          </cell>
          <cell r="D267" t="str">
            <v>B</v>
          </cell>
          <cell r="E267" t="str">
            <v>고객상담(미납)</v>
          </cell>
          <cell r="F267" t="str">
            <v>CMIS-미납</v>
          </cell>
          <cell r="G267" t="str">
            <v>C/S</v>
          </cell>
          <cell r="H267" t="str">
            <v>구로 콜센터</v>
          </cell>
          <cell r="I267" t="str">
            <v>Auto Call 서비스</v>
          </cell>
        </row>
        <row r="268">
          <cell r="A268" t="str">
            <v>ACS117</v>
          </cell>
          <cell r="B268" t="str">
            <v>NT-Server-CPU-ETC-09161</v>
          </cell>
          <cell r="C268" t="str">
            <v>Y</v>
          </cell>
          <cell r="D268" t="str">
            <v>B</v>
          </cell>
          <cell r="E268" t="str">
            <v>고객상담(미납)</v>
          </cell>
          <cell r="F268" t="str">
            <v>CMIS-미납</v>
          </cell>
          <cell r="G268" t="str">
            <v>C/S</v>
          </cell>
          <cell r="H268" t="str">
            <v>구로 콜센터</v>
          </cell>
          <cell r="I268" t="str">
            <v>Auto Call 서비스</v>
          </cell>
        </row>
        <row r="269">
          <cell r="A269" t="str">
            <v>40ACS_SVR</v>
          </cell>
          <cell r="B269" t="str">
            <v>NT-Server-CPU-ETC-09215</v>
          </cell>
          <cell r="C269" t="str">
            <v>Y</v>
          </cell>
          <cell r="D269" t="str">
            <v>B</v>
          </cell>
          <cell r="E269" t="str">
            <v>고객상담(미납)</v>
          </cell>
          <cell r="F269" t="str">
            <v>CMIS-미납</v>
          </cell>
          <cell r="G269" t="str">
            <v>C/S</v>
          </cell>
          <cell r="H269" t="str">
            <v>광주 콜센터</v>
          </cell>
          <cell r="I269" t="str">
            <v>미납 ACS 서버</v>
          </cell>
        </row>
        <row r="270">
          <cell r="A270" t="str">
            <v>ACS401</v>
          </cell>
          <cell r="B270" t="str">
            <v>NT-Server-CPU-ETC-09216</v>
          </cell>
          <cell r="C270" t="str">
            <v>Y</v>
          </cell>
          <cell r="D270" t="str">
            <v>B</v>
          </cell>
          <cell r="E270" t="str">
            <v>고객상담(미납)</v>
          </cell>
          <cell r="F270" t="str">
            <v>CMIS-미납</v>
          </cell>
          <cell r="G270" t="str">
            <v>C/S</v>
          </cell>
          <cell r="H270" t="str">
            <v>광주 콜센터</v>
          </cell>
          <cell r="I270" t="str">
            <v>Auto Call 서비스</v>
          </cell>
        </row>
        <row r="271">
          <cell r="A271" t="str">
            <v>ACS402</v>
          </cell>
          <cell r="B271" t="str">
            <v>NT-Server-CPU-ETC-09217</v>
          </cell>
          <cell r="C271" t="str">
            <v>Y</v>
          </cell>
          <cell r="D271" t="str">
            <v>B</v>
          </cell>
          <cell r="E271" t="str">
            <v>고객상담(미납)</v>
          </cell>
          <cell r="F271" t="str">
            <v>CMIS-미납</v>
          </cell>
          <cell r="G271" t="str">
            <v>C/S</v>
          </cell>
          <cell r="H271" t="str">
            <v>광주 콜센터</v>
          </cell>
          <cell r="I271" t="str">
            <v>Auto Call 서비스</v>
          </cell>
        </row>
        <row r="272">
          <cell r="A272" t="str">
            <v>ACS403</v>
          </cell>
          <cell r="B272" t="str">
            <v>NT-Server-CPU-ETC-09218</v>
          </cell>
          <cell r="C272" t="str">
            <v>Y</v>
          </cell>
          <cell r="D272" t="str">
            <v>B</v>
          </cell>
          <cell r="E272" t="str">
            <v>고객상담(미납)</v>
          </cell>
          <cell r="F272" t="str">
            <v>CMIS-미납</v>
          </cell>
          <cell r="G272" t="str">
            <v>C/S</v>
          </cell>
          <cell r="H272" t="str">
            <v>광주 콜센터</v>
          </cell>
          <cell r="I272" t="str">
            <v>Auto Call 서비스</v>
          </cell>
        </row>
        <row r="273">
          <cell r="A273" t="str">
            <v>ACS404</v>
          </cell>
          <cell r="B273" t="str">
            <v>NT-Server-CPU-ETC-09219</v>
          </cell>
          <cell r="C273" t="str">
            <v>Y</v>
          </cell>
          <cell r="D273" t="str">
            <v>B</v>
          </cell>
          <cell r="E273" t="str">
            <v>고객상담(미납)</v>
          </cell>
          <cell r="F273" t="str">
            <v>CMIS-미납</v>
          </cell>
          <cell r="G273" t="str">
            <v>C/S</v>
          </cell>
          <cell r="H273" t="str">
            <v>광주 콜센터</v>
          </cell>
          <cell r="I273" t="str">
            <v>Auto Call 서비스</v>
          </cell>
        </row>
        <row r="274">
          <cell r="A274" t="str">
            <v>ACS405</v>
          </cell>
          <cell r="B274" t="str">
            <v>NT-Server-CPU-ETC-09220</v>
          </cell>
          <cell r="C274" t="str">
            <v>Y</v>
          </cell>
          <cell r="D274" t="str">
            <v>B</v>
          </cell>
          <cell r="E274" t="str">
            <v>고객상담(미납)</v>
          </cell>
          <cell r="F274" t="str">
            <v>CMIS-미납</v>
          </cell>
          <cell r="G274" t="str">
            <v>C/S</v>
          </cell>
          <cell r="H274" t="str">
            <v>광주 콜센터</v>
          </cell>
          <cell r="I274" t="str">
            <v>Auto Call 서비스</v>
          </cell>
        </row>
        <row r="275">
          <cell r="A275" t="str">
            <v>ACS406</v>
          </cell>
          <cell r="B275" t="str">
            <v>NT-Server-CPU-ETC-09221</v>
          </cell>
          <cell r="C275" t="str">
            <v>Y</v>
          </cell>
          <cell r="D275" t="str">
            <v>B</v>
          </cell>
          <cell r="E275" t="str">
            <v>고객상담(미납)</v>
          </cell>
          <cell r="F275" t="str">
            <v>CMIS-미납</v>
          </cell>
          <cell r="G275" t="str">
            <v>C/S</v>
          </cell>
          <cell r="H275" t="str">
            <v>광주 콜센터</v>
          </cell>
          <cell r="I275" t="str">
            <v>Auto Call 서비스</v>
          </cell>
        </row>
        <row r="276">
          <cell r="A276" t="str">
            <v>ACS407</v>
          </cell>
          <cell r="B276" t="str">
            <v>NT-Server-CPU-ETC-09222</v>
          </cell>
          <cell r="C276" t="str">
            <v>Y</v>
          </cell>
          <cell r="D276" t="str">
            <v>B</v>
          </cell>
          <cell r="E276" t="str">
            <v>고객상담(미납)</v>
          </cell>
          <cell r="F276" t="str">
            <v>CMIS-미납</v>
          </cell>
          <cell r="G276" t="str">
            <v>C/S</v>
          </cell>
          <cell r="H276" t="str">
            <v>광주 콜센터</v>
          </cell>
          <cell r="I276" t="str">
            <v>Auto Call 서비스</v>
          </cell>
        </row>
        <row r="277">
          <cell r="A277" t="str">
            <v>ACS408</v>
          </cell>
          <cell r="B277" t="str">
            <v>NT-Server-CPU-ETC-09223</v>
          </cell>
          <cell r="C277" t="str">
            <v>Y</v>
          </cell>
          <cell r="D277" t="str">
            <v>B</v>
          </cell>
          <cell r="E277" t="str">
            <v>고객상담(미납)</v>
          </cell>
          <cell r="F277" t="str">
            <v>CMIS-미납</v>
          </cell>
          <cell r="G277" t="str">
            <v>C/S</v>
          </cell>
          <cell r="H277" t="str">
            <v>광주 콜센터</v>
          </cell>
          <cell r="I277" t="str">
            <v>Auto Call 서비스</v>
          </cell>
        </row>
        <row r="278">
          <cell r="A278" t="str">
            <v>30ACS_SVR</v>
          </cell>
          <cell r="B278" t="str">
            <v>NT-Server-CPU-ETC-09311</v>
          </cell>
          <cell r="C278" t="str">
            <v>Y</v>
          </cell>
          <cell r="D278" t="str">
            <v>B</v>
          </cell>
          <cell r="E278" t="str">
            <v>고객상담(미납)</v>
          </cell>
          <cell r="F278" t="str">
            <v>CMIS-미납</v>
          </cell>
          <cell r="G278" t="str">
            <v>C/S</v>
          </cell>
          <cell r="H278" t="str">
            <v>대구 콜센터</v>
          </cell>
          <cell r="I278" t="str">
            <v>미납 ACS 서버</v>
          </cell>
        </row>
        <row r="279">
          <cell r="A279" t="str">
            <v>ACS301</v>
          </cell>
          <cell r="B279" t="str">
            <v>NT-Server-CPU-ETC-09312</v>
          </cell>
          <cell r="C279" t="str">
            <v>Y</v>
          </cell>
          <cell r="D279" t="str">
            <v>B</v>
          </cell>
          <cell r="E279" t="str">
            <v>고객상담(미납)</v>
          </cell>
          <cell r="F279" t="str">
            <v>CMIS-미납</v>
          </cell>
          <cell r="G279" t="str">
            <v>C/S</v>
          </cell>
          <cell r="H279" t="str">
            <v>대구 콜센터</v>
          </cell>
          <cell r="I279" t="str">
            <v>미납 ACS</v>
          </cell>
        </row>
        <row r="280">
          <cell r="A280" t="str">
            <v>ACS302</v>
          </cell>
          <cell r="B280" t="str">
            <v>NT-Server-CPU-ETC-09313</v>
          </cell>
          <cell r="C280" t="str">
            <v>Y</v>
          </cell>
          <cell r="D280" t="str">
            <v>B</v>
          </cell>
          <cell r="E280" t="str">
            <v>고객상담(미납)</v>
          </cell>
          <cell r="F280" t="str">
            <v>CMIS-미납</v>
          </cell>
          <cell r="G280" t="str">
            <v>C/S</v>
          </cell>
          <cell r="H280" t="str">
            <v>대구 콜센터</v>
          </cell>
          <cell r="I280" t="str">
            <v>미납 ACS</v>
          </cell>
        </row>
        <row r="281">
          <cell r="A281" t="str">
            <v>ACS303</v>
          </cell>
          <cell r="B281" t="str">
            <v>NT-Server-CPU-ETC-09314</v>
          </cell>
          <cell r="C281" t="str">
            <v>Y</v>
          </cell>
          <cell r="D281" t="str">
            <v>B</v>
          </cell>
          <cell r="E281" t="str">
            <v>고객상담(미납)</v>
          </cell>
          <cell r="F281" t="str">
            <v>CMIS-미납</v>
          </cell>
          <cell r="G281" t="str">
            <v>C/S</v>
          </cell>
          <cell r="H281" t="str">
            <v>대구 콜센터</v>
          </cell>
          <cell r="I281" t="str">
            <v>미납 ACS</v>
          </cell>
        </row>
        <row r="282">
          <cell r="A282" t="str">
            <v>ACS304</v>
          </cell>
          <cell r="B282" t="str">
            <v>NT-Server-CPU-ETC-09315</v>
          </cell>
          <cell r="C282" t="str">
            <v>Y</v>
          </cell>
          <cell r="D282" t="str">
            <v>B</v>
          </cell>
          <cell r="E282" t="str">
            <v>고객상담(미납)</v>
          </cell>
          <cell r="F282" t="str">
            <v>CMIS-미납</v>
          </cell>
          <cell r="G282" t="str">
            <v>C/S</v>
          </cell>
          <cell r="H282" t="str">
            <v>대구 콜센터</v>
          </cell>
          <cell r="I282" t="str">
            <v>미납 ACS</v>
          </cell>
        </row>
        <row r="283">
          <cell r="A283" t="str">
            <v>ACS305</v>
          </cell>
          <cell r="B283" t="str">
            <v>NT-Server-CPU-ETC-09316</v>
          </cell>
          <cell r="C283" t="str">
            <v>Y</v>
          </cell>
          <cell r="D283" t="str">
            <v>B</v>
          </cell>
          <cell r="E283" t="str">
            <v>고객상담(미납)</v>
          </cell>
          <cell r="F283" t="str">
            <v>CMIS-미납</v>
          </cell>
          <cell r="G283" t="str">
            <v>C/S</v>
          </cell>
          <cell r="H283" t="str">
            <v>대구 콜센터</v>
          </cell>
          <cell r="I283" t="str">
            <v>미납 ACS</v>
          </cell>
        </row>
        <row r="284">
          <cell r="A284" t="str">
            <v>ACS306</v>
          </cell>
          <cell r="B284" t="str">
            <v>NT-Server-CPU-ETC-09317</v>
          </cell>
          <cell r="C284" t="str">
            <v>Y</v>
          </cell>
          <cell r="D284" t="str">
            <v>B</v>
          </cell>
          <cell r="E284" t="str">
            <v>고객상담(미납)</v>
          </cell>
          <cell r="F284" t="str">
            <v>CMIS-미납</v>
          </cell>
          <cell r="G284" t="str">
            <v>C/S</v>
          </cell>
          <cell r="H284" t="str">
            <v>대구 콜센터</v>
          </cell>
          <cell r="I284" t="str">
            <v>미납 ACS</v>
          </cell>
        </row>
        <row r="285">
          <cell r="A285" t="str">
            <v>ACS307</v>
          </cell>
          <cell r="B285" t="str">
            <v>NT-Server-CPU-ETC-09318</v>
          </cell>
          <cell r="C285" t="str">
            <v>Y</v>
          </cell>
          <cell r="D285" t="str">
            <v>B</v>
          </cell>
          <cell r="E285" t="str">
            <v>고객상담(미납)</v>
          </cell>
          <cell r="F285" t="str">
            <v>CMIS-미납</v>
          </cell>
          <cell r="G285" t="str">
            <v>C/S</v>
          </cell>
          <cell r="H285" t="str">
            <v>대구 콜센터</v>
          </cell>
          <cell r="I285" t="str">
            <v>미납 ACS</v>
          </cell>
        </row>
        <row r="286">
          <cell r="A286" t="str">
            <v>ACS308</v>
          </cell>
          <cell r="B286" t="str">
            <v>NT-Server-CPU-ETC-09319</v>
          </cell>
          <cell r="C286" t="str">
            <v>Y</v>
          </cell>
          <cell r="D286" t="str">
            <v>B</v>
          </cell>
          <cell r="E286" t="str">
            <v>고객상담(미납)</v>
          </cell>
          <cell r="F286" t="str">
            <v>CMIS-미납</v>
          </cell>
          <cell r="G286" t="str">
            <v>C/S</v>
          </cell>
          <cell r="H286" t="str">
            <v>대구 콜센터</v>
          </cell>
          <cell r="I286" t="str">
            <v>미납 ACS</v>
          </cell>
        </row>
        <row r="287">
          <cell r="A287" t="str">
            <v>20ACS_SVR</v>
          </cell>
          <cell r="B287" t="str">
            <v>NT-Server-CPU-ETC-09413</v>
          </cell>
          <cell r="C287" t="str">
            <v>Y</v>
          </cell>
          <cell r="D287" t="str">
            <v>B</v>
          </cell>
          <cell r="E287" t="str">
            <v>고객상담(미납)</v>
          </cell>
          <cell r="F287" t="str">
            <v>CMIS-미납</v>
          </cell>
          <cell r="G287" t="str">
            <v>C/S</v>
          </cell>
          <cell r="H287" t="str">
            <v>부산 콜센터</v>
          </cell>
          <cell r="I287" t="str">
            <v>미납 ACS 서버</v>
          </cell>
        </row>
        <row r="288">
          <cell r="A288" t="str">
            <v>ACS201</v>
          </cell>
          <cell r="B288" t="str">
            <v>NT-Server-CPU-ETC-09414</v>
          </cell>
          <cell r="C288" t="str">
            <v>Y</v>
          </cell>
          <cell r="D288" t="str">
            <v>B</v>
          </cell>
          <cell r="E288" t="str">
            <v>고객상담(미납)</v>
          </cell>
          <cell r="F288" t="str">
            <v>CMIS-미납</v>
          </cell>
          <cell r="G288" t="str">
            <v>C/S</v>
          </cell>
          <cell r="H288" t="str">
            <v>부산 콜센터</v>
          </cell>
          <cell r="I288" t="str">
            <v>Auto Call 서비스</v>
          </cell>
        </row>
        <row r="289">
          <cell r="A289" t="str">
            <v>ACS202</v>
          </cell>
          <cell r="B289" t="str">
            <v>NT-Server-CPU-ETC-09415</v>
          </cell>
          <cell r="C289" t="str">
            <v>Y</v>
          </cell>
          <cell r="D289" t="str">
            <v>B</v>
          </cell>
          <cell r="E289" t="str">
            <v>고객상담(미납)</v>
          </cell>
          <cell r="F289" t="str">
            <v>CMIS-미납</v>
          </cell>
          <cell r="G289" t="str">
            <v>C/S</v>
          </cell>
          <cell r="H289" t="str">
            <v>부산 콜센터</v>
          </cell>
          <cell r="I289" t="str">
            <v>Auto Call 서비스</v>
          </cell>
        </row>
        <row r="290">
          <cell r="A290" t="str">
            <v>ACS203</v>
          </cell>
          <cell r="B290" t="str">
            <v>NT-Server-CPU-ETC-09416</v>
          </cell>
          <cell r="C290" t="str">
            <v>Y</v>
          </cell>
          <cell r="D290" t="str">
            <v>B</v>
          </cell>
          <cell r="E290" t="str">
            <v>고객상담(미납)</v>
          </cell>
          <cell r="F290" t="str">
            <v>CMIS-미납</v>
          </cell>
          <cell r="G290" t="str">
            <v>C/S</v>
          </cell>
          <cell r="H290" t="str">
            <v>부산 콜센터</v>
          </cell>
          <cell r="I290" t="str">
            <v>Auto Call 서비스</v>
          </cell>
        </row>
        <row r="291">
          <cell r="A291" t="str">
            <v>ACS204</v>
          </cell>
          <cell r="B291" t="str">
            <v>NT-Server-CPU-ETC-09417</v>
          </cell>
          <cell r="C291" t="str">
            <v>Y</v>
          </cell>
          <cell r="D291" t="str">
            <v>B</v>
          </cell>
          <cell r="E291" t="str">
            <v>고객상담(미납)</v>
          </cell>
          <cell r="F291" t="str">
            <v>CMIS-미납</v>
          </cell>
          <cell r="G291" t="str">
            <v>C/S</v>
          </cell>
          <cell r="H291" t="str">
            <v>부산 콜센터</v>
          </cell>
          <cell r="I291" t="str">
            <v>Auto Call 서비스</v>
          </cell>
        </row>
        <row r="292">
          <cell r="A292" t="str">
            <v>ACS205</v>
          </cell>
          <cell r="B292" t="str">
            <v>NT-Server-CPU-ETC-09418</v>
          </cell>
          <cell r="C292" t="str">
            <v>Y</v>
          </cell>
          <cell r="D292" t="str">
            <v>B</v>
          </cell>
          <cell r="E292" t="str">
            <v>고객상담(미납)</v>
          </cell>
          <cell r="F292" t="str">
            <v>CMIS-미납</v>
          </cell>
          <cell r="G292" t="str">
            <v>C/S</v>
          </cell>
          <cell r="H292" t="str">
            <v>부산 콜센터</v>
          </cell>
          <cell r="I292" t="str">
            <v>Auto Call 서비스</v>
          </cell>
        </row>
        <row r="293">
          <cell r="A293" t="str">
            <v>ACS206</v>
          </cell>
          <cell r="B293" t="str">
            <v>NT-Server-CPU-ETC-09419</v>
          </cell>
          <cell r="C293" t="str">
            <v>Y</v>
          </cell>
          <cell r="D293" t="str">
            <v>B</v>
          </cell>
          <cell r="E293" t="str">
            <v>고객상담(미납)</v>
          </cell>
          <cell r="F293" t="str">
            <v>CMIS-미납</v>
          </cell>
          <cell r="G293" t="str">
            <v>C/S</v>
          </cell>
          <cell r="H293" t="str">
            <v>부산 콜센터</v>
          </cell>
          <cell r="I293" t="str">
            <v>Auto Call 서비스</v>
          </cell>
        </row>
        <row r="294">
          <cell r="A294" t="str">
            <v>ACS207</v>
          </cell>
          <cell r="B294" t="str">
            <v>NT-Server-CPU-ETC-09420</v>
          </cell>
          <cell r="C294" t="str">
            <v>Y</v>
          </cell>
          <cell r="D294" t="str">
            <v>B</v>
          </cell>
          <cell r="E294" t="str">
            <v>고객상담(미납)</v>
          </cell>
          <cell r="F294" t="str">
            <v>CMIS-미납</v>
          </cell>
          <cell r="G294" t="str">
            <v>C/S</v>
          </cell>
          <cell r="H294" t="str">
            <v>부산 콜센터</v>
          </cell>
          <cell r="I294" t="str">
            <v>Auto Call 서비스</v>
          </cell>
        </row>
        <row r="295">
          <cell r="A295" t="str">
            <v>ACS208</v>
          </cell>
          <cell r="B295" t="str">
            <v>NT-Server-CPU-ETC-09421</v>
          </cell>
          <cell r="C295" t="str">
            <v>Y</v>
          </cell>
          <cell r="D295" t="str">
            <v>B</v>
          </cell>
          <cell r="E295" t="str">
            <v>고객상담(미납)</v>
          </cell>
          <cell r="F295" t="str">
            <v>CMIS-미납</v>
          </cell>
          <cell r="G295" t="str">
            <v>C/S</v>
          </cell>
          <cell r="H295" t="str">
            <v>부산 콜센터</v>
          </cell>
          <cell r="I295" t="str">
            <v>Auto Call 서비스</v>
          </cell>
        </row>
        <row r="296">
          <cell r="A296" t="str">
            <v>ACS209</v>
          </cell>
          <cell r="B296" t="str">
            <v>NT-Server-CPU-ETC-09422</v>
          </cell>
          <cell r="C296" t="str">
            <v>Y</v>
          </cell>
          <cell r="D296" t="str">
            <v>B</v>
          </cell>
          <cell r="E296" t="str">
            <v>고객상담(미납)</v>
          </cell>
          <cell r="F296" t="str">
            <v>CMIS-미납</v>
          </cell>
          <cell r="G296" t="str">
            <v>C/S</v>
          </cell>
          <cell r="H296" t="str">
            <v>부산 콜센터</v>
          </cell>
          <cell r="I296" t="str">
            <v>Auto Call 서비스</v>
          </cell>
        </row>
        <row r="297">
          <cell r="A297" t="str">
            <v>ACS210</v>
          </cell>
          <cell r="B297" t="str">
            <v>NT-Server-CPU-ETC-09423</v>
          </cell>
          <cell r="C297" t="str">
            <v>Y</v>
          </cell>
          <cell r="D297" t="str">
            <v>B</v>
          </cell>
          <cell r="E297" t="str">
            <v>고객상담(미납)</v>
          </cell>
          <cell r="F297" t="str">
            <v>CMIS-미납</v>
          </cell>
          <cell r="G297" t="str">
            <v>C/S</v>
          </cell>
          <cell r="H297" t="str">
            <v>부산 콜센터</v>
          </cell>
          <cell r="I297" t="str">
            <v>Auto Call 서비스</v>
          </cell>
        </row>
        <row r="298">
          <cell r="A298" t="str">
            <v>50ACS_SVR</v>
          </cell>
          <cell r="B298" t="str">
            <v>NT-Server-CPU-ETC-09511</v>
          </cell>
          <cell r="C298" t="str">
            <v>Y</v>
          </cell>
          <cell r="D298" t="str">
            <v>B</v>
          </cell>
          <cell r="E298" t="str">
            <v>고객상담(미납)</v>
          </cell>
          <cell r="F298" t="str">
            <v>CMIS-미납</v>
          </cell>
          <cell r="G298" t="str">
            <v>C/S</v>
          </cell>
          <cell r="H298" t="str">
            <v>청주 콜센터</v>
          </cell>
          <cell r="I298" t="str">
            <v>미납 ACS 서버</v>
          </cell>
        </row>
        <row r="299">
          <cell r="A299" t="str">
            <v>ACS501</v>
          </cell>
          <cell r="B299" t="str">
            <v>NT-Server-CPU-ETC-09512</v>
          </cell>
          <cell r="C299" t="str">
            <v>Y</v>
          </cell>
          <cell r="D299" t="str">
            <v>B</v>
          </cell>
          <cell r="E299" t="str">
            <v>고객상담(미납)</v>
          </cell>
          <cell r="F299" t="str">
            <v>CMIS-미납</v>
          </cell>
          <cell r="G299" t="str">
            <v>C/S</v>
          </cell>
          <cell r="H299" t="str">
            <v>청주 콜센터</v>
          </cell>
          <cell r="I299" t="str">
            <v>Auto Call 서비스</v>
          </cell>
        </row>
        <row r="300">
          <cell r="A300" t="str">
            <v>ACS502</v>
          </cell>
          <cell r="B300" t="str">
            <v>NT-Server-CPU-ETC-09513</v>
          </cell>
          <cell r="C300" t="str">
            <v>Y</v>
          </cell>
          <cell r="D300" t="str">
            <v>B</v>
          </cell>
          <cell r="E300" t="str">
            <v>고객상담(미납)</v>
          </cell>
          <cell r="F300" t="str">
            <v>CMIS-미납</v>
          </cell>
          <cell r="G300" t="str">
            <v>C/S</v>
          </cell>
          <cell r="H300" t="str">
            <v>청주 콜센터</v>
          </cell>
          <cell r="I300" t="str">
            <v>Auto Call 서비스</v>
          </cell>
        </row>
        <row r="301">
          <cell r="A301" t="str">
            <v>ACS503</v>
          </cell>
          <cell r="B301" t="str">
            <v>NT-Server-CPU-ETC-09514</v>
          </cell>
          <cell r="C301" t="str">
            <v>Y</v>
          </cell>
          <cell r="D301" t="str">
            <v>B</v>
          </cell>
          <cell r="E301" t="str">
            <v>고객상담(미납)</v>
          </cell>
          <cell r="F301" t="str">
            <v>CMIS-미납</v>
          </cell>
          <cell r="G301" t="str">
            <v>C/S</v>
          </cell>
          <cell r="H301" t="str">
            <v>청주 콜센터</v>
          </cell>
          <cell r="I301" t="str">
            <v>Auto Call 서비스</v>
          </cell>
        </row>
        <row r="302">
          <cell r="A302" t="str">
            <v>ACS504</v>
          </cell>
          <cell r="B302" t="str">
            <v>NT-Server-CPU-ETC-09515</v>
          </cell>
          <cell r="C302" t="str">
            <v>Y</v>
          </cell>
          <cell r="D302" t="str">
            <v>B</v>
          </cell>
          <cell r="E302" t="str">
            <v>고객상담(미납)</v>
          </cell>
          <cell r="F302" t="str">
            <v>CMIS-미납</v>
          </cell>
          <cell r="G302" t="str">
            <v>C/S</v>
          </cell>
          <cell r="H302" t="str">
            <v>청주 콜센터</v>
          </cell>
          <cell r="I302" t="str">
            <v>Auto Call 서비스</v>
          </cell>
        </row>
        <row r="303">
          <cell r="A303" t="str">
            <v>ACS505</v>
          </cell>
          <cell r="B303" t="str">
            <v>NT-Server-CPU-ETC-09516</v>
          </cell>
          <cell r="C303" t="str">
            <v>Y</v>
          </cell>
          <cell r="D303" t="str">
            <v>B</v>
          </cell>
          <cell r="E303" t="str">
            <v>고객상담(미납)</v>
          </cell>
          <cell r="F303" t="str">
            <v>CMIS-미납</v>
          </cell>
          <cell r="G303" t="str">
            <v>C/S</v>
          </cell>
          <cell r="H303" t="str">
            <v>청주 콜센터</v>
          </cell>
          <cell r="I303" t="str">
            <v>Auto Call 서비스</v>
          </cell>
        </row>
        <row r="304">
          <cell r="A304" t="str">
            <v>ACS506</v>
          </cell>
          <cell r="B304" t="str">
            <v>NT-Server-CPU-ETC-09517</v>
          </cell>
          <cell r="C304" t="str">
            <v>Y</v>
          </cell>
          <cell r="D304" t="str">
            <v>B</v>
          </cell>
          <cell r="E304" t="str">
            <v>고객상담(미납)</v>
          </cell>
          <cell r="F304" t="str">
            <v>CMIS-미납</v>
          </cell>
          <cell r="G304" t="str">
            <v>C/S</v>
          </cell>
          <cell r="H304" t="str">
            <v>청주 콜센터</v>
          </cell>
          <cell r="I304" t="str">
            <v>Auto Call 서비스</v>
          </cell>
        </row>
        <row r="305">
          <cell r="A305" t="str">
            <v>ACS507</v>
          </cell>
          <cell r="B305" t="str">
            <v>NT-Server-CPU-ETC-09518</v>
          </cell>
          <cell r="C305" t="str">
            <v>Y</v>
          </cell>
          <cell r="D305" t="str">
            <v>B</v>
          </cell>
          <cell r="E305" t="str">
            <v>고객상담(미납)</v>
          </cell>
          <cell r="F305" t="str">
            <v>CMIS-미납</v>
          </cell>
          <cell r="G305" t="str">
            <v>C/S</v>
          </cell>
          <cell r="H305" t="str">
            <v>청주 콜센터</v>
          </cell>
          <cell r="I305" t="str">
            <v>Auto Call 서비스</v>
          </cell>
        </row>
        <row r="306">
          <cell r="A306" t="str">
            <v>ACS508</v>
          </cell>
          <cell r="B306" t="str">
            <v>NT-Server-CPU-ETC-09519</v>
          </cell>
          <cell r="C306" t="str">
            <v>Y</v>
          </cell>
          <cell r="D306" t="str">
            <v>B</v>
          </cell>
          <cell r="E306" t="str">
            <v>고객상담(미납)</v>
          </cell>
          <cell r="F306" t="str">
            <v>CMIS-미납</v>
          </cell>
          <cell r="G306" t="str">
            <v>C/S</v>
          </cell>
          <cell r="H306" t="str">
            <v>청주 콜센터</v>
          </cell>
          <cell r="I306" t="str">
            <v>Auto Call 서비스</v>
          </cell>
        </row>
        <row r="307">
          <cell r="A307" t="str">
            <v>cmis_su</v>
          </cell>
          <cell r="B307" t="str">
            <v>UX-CPU-RS6000-00144</v>
          </cell>
          <cell r="C307" t="str">
            <v>Y</v>
          </cell>
          <cell r="D307" t="str">
            <v>B</v>
          </cell>
          <cell r="E307" t="str">
            <v>고객상담(미납)</v>
          </cell>
          <cell r="F307" t="str">
            <v>CMIS-미납</v>
          </cell>
          <cell r="G307" t="str">
            <v>C/S</v>
          </cell>
          <cell r="H307" t="str">
            <v>구로</v>
          </cell>
          <cell r="I307" t="str">
            <v>CMIS 미납 (SNA Server)</v>
          </cell>
        </row>
        <row r="308">
          <cell r="A308" t="str">
            <v>CRMNT01</v>
          </cell>
          <cell r="B308" t="str">
            <v>NT-Server-CPU-Compaq-08139</v>
          </cell>
          <cell r="C308" t="str">
            <v>Y</v>
          </cell>
          <cell r="D308" t="str">
            <v>B</v>
          </cell>
          <cell r="E308" t="str">
            <v>고객관리</v>
          </cell>
          <cell r="F308" t="str">
            <v>고객관리</v>
          </cell>
          <cell r="G308" t="str">
            <v>C/S</v>
          </cell>
          <cell r="H308" t="str">
            <v>보라매</v>
          </cell>
          <cell r="I308" t="str">
            <v>법인영업인프라</v>
          </cell>
        </row>
        <row r="309">
          <cell r="A309" t="str">
            <v>CRMNT02</v>
          </cell>
          <cell r="B309" t="str">
            <v>NT-Server-CPU-Compaq-08140</v>
          </cell>
          <cell r="C309" t="str">
            <v>Y</v>
          </cell>
          <cell r="D309" t="str">
            <v>B</v>
          </cell>
          <cell r="E309" t="str">
            <v>고객관리</v>
          </cell>
          <cell r="F309" t="str">
            <v>고객관리</v>
          </cell>
          <cell r="G309" t="str">
            <v>C/S</v>
          </cell>
          <cell r="H309" t="str">
            <v>보라매</v>
          </cell>
          <cell r="I309" t="str">
            <v>법인영업인프라</v>
          </cell>
        </row>
        <row r="310">
          <cell r="A310" t="str">
            <v>crmux01</v>
          </cell>
          <cell r="B310" t="str">
            <v>UX-CPU-HP-00027</v>
          </cell>
          <cell r="C310" t="str">
            <v>Y</v>
          </cell>
          <cell r="D310" t="str">
            <v>B</v>
          </cell>
          <cell r="E310" t="str">
            <v>고객 관리</v>
          </cell>
          <cell r="F310" t="str">
            <v>고객관리</v>
          </cell>
          <cell r="G310" t="str">
            <v>C/S</v>
          </cell>
          <cell r="H310" t="str">
            <v>보라매</v>
          </cell>
          <cell r="I310" t="str">
            <v>법인 CRM</v>
          </cell>
        </row>
        <row r="311">
          <cell r="A311" t="str">
            <v>r2k01</v>
          </cell>
          <cell r="B311" t="str">
            <v>UX-CPU-HP-00025</v>
          </cell>
          <cell r="C311" t="str">
            <v>Y</v>
          </cell>
          <cell r="D311" t="str">
            <v>B</v>
          </cell>
          <cell r="E311" t="str">
            <v>고객 관리</v>
          </cell>
          <cell r="F311" t="str">
            <v>리더스클럽(가맹점 관리)</v>
          </cell>
          <cell r="G311" t="str">
            <v>C/S</v>
          </cell>
          <cell r="H311" t="str">
            <v>보라매</v>
          </cell>
          <cell r="I311" t="str">
            <v>R2K01(Main):Retention 2000</v>
          </cell>
        </row>
        <row r="312">
          <cell r="A312" t="str">
            <v>r2k02</v>
          </cell>
          <cell r="B312" t="str">
            <v>UX-CPU-HP-00026</v>
          </cell>
          <cell r="C312" t="str">
            <v>Y</v>
          </cell>
          <cell r="D312" t="str">
            <v>B</v>
          </cell>
          <cell r="E312" t="str">
            <v>고객 관리</v>
          </cell>
          <cell r="F312" t="str">
            <v>리더스클럽(가맹점 관리)</v>
          </cell>
          <cell r="G312" t="str">
            <v>C/S</v>
          </cell>
          <cell r="H312" t="str">
            <v>보라매</v>
          </cell>
          <cell r="I312" t="str">
            <v>R2K02(Backup)</v>
          </cell>
        </row>
        <row r="313">
          <cell r="A313" t="str">
            <v>spip5_boot</v>
          </cell>
          <cell r="B313" t="str">
            <v>UX-CPU-RS6000-00004</v>
          </cell>
          <cell r="C313" t="str">
            <v>Y</v>
          </cell>
          <cell r="D313" t="str">
            <v>B</v>
          </cell>
          <cell r="F313" t="str">
            <v>EDI</v>
          </cell>
          <cell r="G313" t="str">
            <v>C/S</v>
          </cell>
          <cell r="H313" t="str">
            <v>보라매</v>
          </cell>
          <cell r="I313" t="str">
            <v>EDI(DR)</v>
          </cell>
        </row>
        <row r="314">
          <cell r="A314" t="str">
            <v>editest</v>
          </cell>
          <cell r="B314" t="str">
            <v>UX-CPU-RS6000-00005</v>
          </cell>
          <cell r="C314" t="str">
            <v>Y</v>
          </cell>
          <cell r="D314" t="str">
            <v>B</v>
          </cell>
          <cell r="F314" t="str">
            <v>EDI</v>
          </cell>
          <cell r="G314" t="str">
            <v>C/S</v>
          </cell>
          <cell r="H314" t="str">
            <v>보라매</v>
          </cell>
          <cell r="I314" t="str">
            <v>텔레뱅킹(DR)/EDI Test</v>
          </cell>
        </row>
        <row r="315">
          <cell r="A315" t="str">
            <v>kmtrs01</v>
          </cell>
          <cell r="B315" t="str">
            <v>UX-CPU-RS6000-00017</v>
          </cell>
          <cell r="C315" t="str">
            <v>Y</v>
          </cell>
          <cell r="D315" t="str">
            <v>B</v>
          </cell>
          <cell r="F315" t="str">
            <v>EDI</v>
          </cell>
          <cell r="G315" t="str">
            <v>C/S</v>
          </cell>
          <cell r="H315" t="str">
            <v>대전,행정동</v>
          </cell>
          <cell r="I315" t="str">
            <v>EDI (kmtrs01) - 대덕 DR</v>
          </cell>
        </row>
        <row r="316">
          <cell r="A316" t="str">
            <v>kmtrs02_boot</v>
          </cell>
          <cell r="B316" t="str">
            <v>UX-CPU-RS6000-00018</v>
          </cell>
          <cell r="C316" t="str">
            <v>Y</v>
          </cell>
          <cell r="D316" t="str">
            <v>B</v>
          </cell>
          <cell r="F316" t="str">
            <v>EDI</v>
          </cell>
          <cell r="G316" t="str">
            <v>C/S</v>
          </cell>
          <cell r="H316" t="str">
            <v>대전,행정동</v>
          </cell>
          <cell r="I316" t="str">
            <v>EDI Backup용 - 대덕 DR</v>
          </cell>
        </row>
        <row r="317">
          <cell r="A317" t="str">
            <v>EDI1</v>
          </cell>
          <cell r="B317" t="str">
            <v>UX-CPU-RS6000-00097</v>
          </cell>
          <cell r="C317" t="str">
            <v>Y</v>
          </cell>
          <cell r="D317" t="str">
            <v>B</v>
          </cell>
          <cell r="F317" t="str">
            <v>EDI</v>
          </cell>
          <cell r="G317" t="str">
            <v>C/S</v>
          </cell>
          <cell r="H317" t="str">
            <v>보라매</v>
          </cell>
          <cell r="I317" t="str">
            <v>EDI ( Main )</v>
          </cell>
        </row>
        <row r="318">
          <cell r="A318" t="str">
            <v>EDI2</v>
          </cell>
          <cell r="B318" t="str">
            <v>UX-CPU-RS6000-00098</v>
          </cell>
          <cell r="C318" t="str">
            <v>Y</v>
          </cell>
          <cell r="D318" t="str">
            <v>B</v>
          </cell>
          <cell r="F318" t="str">
            <v>EDI</v>
          </cell>
          <cell r="G318" t="str">
            <v>C/S</v>
          </cell>
          <cell r="H318" t="str">
            <v>보라매</v>
          </cell>
          <cell r="I318" t="str">
            <v>EDI ( Backup )</v>
          </cell>
        </row>
        <row r="319">
          <cell r="A319" t="str">
            <v>TMREC7</v>
          </cell>
          <cell r="B319" t="str">
            <v>NT-Server-CPU-ETC-09026</v>
          </cell>
          <cell r="C319" t="str">
            <v>Y</v>
          </cell>
          <cell r="D319" t="str">
            <v>B</v>
          </cell>
          <cell r="F319" t="str">
            <v>TM 고객 상담 시스템</v>
          </cell>
          <cell r="G319" t="str">
            <v>C/S</v>
          </cell>
          <cell r="H319" t="str">
            <v>동아건설 빌딩</v>
          </cell>
          <cell r="I319" t="str">
            <v>상담 통화내용 녹음</v>
          </cell>
        </row>
        <row r="320">
          <cell r="C320" t="str">
            <v>합계</v>
          </cell>
        </row>
        <row r="321">
          <cell r="A321" t="str">
            <v>CampaignWeb</v>
          </cell>
          <cell r="B321" t="str">
            <v>UX-CPU-RS6000-00167</v>
          </cell>
          <cell r="C321" t="str">
            <v>Y</v>
          </cell>
          <cell r="D321" t="str">
            <v>B</v>
          </cell>
          <cell r="E321" t="str">
            <v>고객관리</v>
          </cell>
          <cell r="F321" t="str">
            <v>캠페인 관리</v>
          </cell>
          <cell r="G321" t="str">
            <v>Web</v>
          </cell>
          <cell r="H321" t="str">
            <v>보라매</v>
          </cell>
          <cell r="I321" t="str">
            <v>Campaign Web Server</v>
          </cell>
        </row>
        <row r="322">
          <cell r="A322" t="str">
            <v>CampaignDev</v>
          </cell>
          <cell r="B322" t="str">
            <v>UX-CPU-RS6000-00168</v>
          </cell>
          <cell r="C322" t="str">
            <v>Y</v>
          </cell>
          <cell r="D322" t="str">
            <v>B</v>
          </cell>
          <cell r="E322" t="str">
            <v>고객관리</v>
          </cell>
          <cell r="F322" t="str">
            <v>캠페인 관리</v>
          </cell>
          <cell r="G322" t="str">
            <v>Web</v>
          </cell>
          <cell r="H322" t="str">
            <v>보라매</v>
          </cell>
          <cell r="I322" t="str">
            <v>Campaign 개발 Server</v>
          </cell>
        </row>
        <row r="323">
          <cell r="A323" t="str">
            <v>CampaignDB</v>
          </cell>
          <cell r="B323" t="str">
            <v>UX-CPU-RS6000-00169</v>
          </cell>
          <cell r="C323" t="str">
            <v>Y</v>
          </cell>
          <cell r="D323" t="str">
            <v>B</v>
          </cell>
          <cell r="E323" t="str">
            <v>고객관리</v>
          </cell>
          <cell r="F323" t="str">
            <v>캠페인 관리</v>
          </cell>
          <cell r="G323" t="str">
            <v>Web</v>
          </cell>
          <cell r="H323" t="str">
            <v>보라매</v>
          </cell>
          <cell r="I323" t="str">
            <v>Campaign DB Server</v>
          </cell>
        </row>
        <row r="324">
          <cell r="A324" t="str">
            <v>CMS-SMS</v>
          </cell>
          <cell r="B324" t="str">
            <v>UX-CPU-RS6000-00170</v>
          </cell>
          <cell r="C324" t="str">
            <v>Y</v>
          </cell>
          <cell r="D324" t="str">
            <v>B</v>
          </cell>
          <cell r="E324" t="str">
            <v>고객관리</v>
          </cell>
          <cell r="F324" t="str">
            <v>캠페인 관리</v>
          </cell>
          <cell r="G324" t="str">
            <v>Web</v>
          </cell>
          <cell r="H324" t="str">
            <v>보라매</v>
          </cell>
          <cell r="I324" t="str">
            <v>Campaign SMS Server</v>
          </cell>
        </row>
        <row r="325">
          <cell r="C325" t="str">
            <v>합계</v>
          </cell>
        </row>
        <row r="326">
          <cell r="A326" t="str">
            <v>dbm05</v>
          </cell>
          <cell r="B326" t="str">
            <v>UX-CPU-HP-00052</v>
          </cell>
          <cell r="C326" t="str">
            <v>Y</v>
          </cell>
          <cell r="D326" t="str">
            <v>C</v>
          </cell>
          <cell r="E326" t="str">
            <v>DBM</v>
          </cell>
          <cell r="F326" t="str">
            <v>ISM</v>
          </cell>
          <cell r="G326" t="str">
            <v>C/S</v>
          </cell>
          <cell r="H326" t="str">
            <v>대전,행정동</v>
          </cell>
          <cell r="I326" t="str">
            <v>ISM (전략정보시스템)</v>
          </cell>
        </row>
        <row r="327">
          <cell r="A327" t="str">
            <v>dbm01</v>
          </cell>
          <cell r="B327" t="str">
            <v>UX-CPU-HP-00050</v>
          </cell>
          <cell r="C327" t="str">
            <v>Y</v>
          </cell>
          <cell r="D327" t="str">
            <v>C</v>
          </cell>
          <cell r="E327" t="str">
            <v>DBM</v>
          </cell>
          <cell r="F327" t="str">
            <v>Mart</v>
          </cell>
          <cell r="G327" t="str">
            <v>C/S</v>
          </cell>
          <cell r="H327" t="str">
            <v>대전,연구동</v>
          </cell>
          <cell r="I327" t="str">
            <v>MART</v>
          </cell>
        </row>
        <row r="328">
          <cell r="A328" t="str">
            <v>dbm02</v>
          </cell>
          <cell r="B328" t="str">
            <v>UX-CPU-HP-00053</v>
          </cell>
          <cell r="C328" t="str">
            <v>Y</v>
          </cell>
          <cell r="D328" t="str">
            <v>C</v>
          </cell>
          <cell r="E328" t="str">
            <v>DBM</v>
          </cell>
          <cell r="F328" t="str">
            <v>Mining</v>
          </cell>
          <cell r="G328" t="str">
            <v>C/S</v>
          </cell>
          <cell r="H328" t="str">
            <v>대전,행정동</v>
          </cell>
          <cell r="I328" t="str">
            <v>Mining</v>
          </cell>
        </row>
        <row r="329">
          <cell r="A329" t="str">
            <v>dbm03</v>
          </cell>
          <cell r="B329" t="str">
            <v>UX-CPU-HP-00051</v>
          </cell>
          <cell r="C329" t="str">
            <v>Y</v>
          </cell>
          <cell r="D329" t="str">
            <v>C</v>
          </cell>
          <cell r="E329" t="str">
            <v>DBM</v>
          </cell>
          <cell r="F329" t="str">
            <v>OLAP</v>
          </cell>
          <cell r="G329" t="str">
            <v>C/S</v>
          </cell>
          <cell r="H329" t="str">
            <v>대전,행정동</v>
          </cell>
          <cell r="I329" t="str">
            <v>OLAP, Develop, 전사(NMS)</v>
          </cell>
        </row>
        <row r="330">
          <cell r="A330" t="str">
            <v>DBMS_OLAP</v>
          </cell>
          <cell r="B330" t="str">
            <v>NT-Server-CPU-Compaq-08044</v>
          </cell>
          <cell r="C330" t="str">
            <v>Y</v>
          </cell>
          <cell r="D330" t="str">
            <v>C</v>
          </cell>
          <cell r="E330" t="str">
            <v>정보</v>
          </cell>
          <cell r="F330" t="str">
            <v>급여</v>
          </cell>
          <cell r="G330" t="str">
            <v>C/S</v>
          </cell>
          <cell r="H330" t="str">
            <v>보라매</v>
          </cell>
          <cell r="I330" t="str">
            <v>인력정보/급여정보/근무관리</v>
          </cell>
        </row>
        <row r="331">
          <cell r="A331" t="str">
            <v>eDBM</v>
          </cell>
          <cell r="B331" t="str">
            <v>UX-CPU-HP-00137</v>
          </cell>
          <cell r="C331" t="str">
            <v>Y</v>
          </cell>
          <cell r="D331" t="str">
            <v>C</v>
          </cell>
          <cell r="F331" t="str">
            <v>DW</v>
          </cell>
          <cell r="G331" t="str">
            <v>C/S</v>
          </cell>
          <cell r="H331" t="str">
            <v>대덕 연구동</v>
          </cell>
          <cell r="I331" t="str">
            <v>eDBM DW Server</v>
          </cell>
        </row>
        <row r="332">
          <cell r="A332" t="str">
            <v>erp_prod</v>
          </cell>
          <cell r="B332" t="str">
            <v>UX-CPU-HP-00017</v>
          </cell>
          <cell r="C332" t="str">
            <v>Y</v>
          </cell>
          <cell r="D332" t="str">
            <v>C</v>
          </cell>
          <cell r="F332" t="str">
            <v>ERP</v>
          </cell>
          <cell r="G332" t="str">
            <v>C/S</v>
          </cell>
          <cell r="H332" t="str">
            <v>보라매</v>
          </cell>
          <cell r="I332" t="str">
            <v>SKT ERP PROD(DB)</v>
          </cell>
        </row>
        <row r="333">
          <cell r="A333" t="str">
            <v>erp_ap1</v>
          </cell>
          <cell r="B333" t="str">
            <v>UX-CPU-HP-00018</v>
          </cell>
          <cell r="C333" t="str">
            <v>Y</v>
          </cell>
          <cell r="D333" t="str">
            <v>C</v>
          </cell>
          <cell r="F333" t="str">
            <v>ERP</v>
          </cell>
          <cell r="G333" t="str">
            <v>C/S</v>
          </cell>
          <cell r="H333" t="str">
            <v>보라매</v>
          </cell>
          <cell r="I333" t="str">
            <v>SKT ERP APP #1</v>
          </cell>
        </row>
        <row r="334">
          <cell r="A334" t="str">
            <v>erp_ap2</v>
          </cell>
          <cell r="B334" t="str">
            <v>UX-CPU-HP-00019</v>
          </cell>
          <cell r="C334" t="str">
            <v>Y</v>
          </cell>
          <cell r="D334" t="str">
            <v>C</v>
          </cell>
          <cell r="F334" t="str">
            <v>ERP</v>
          </cell>
          <cell r="G334" t="str">
            <v>C/S</v>
          </cell>
          <cell r="H334" t="str">
            <v>보라매</v>
          </cell>
          <cell r="I334" t="str">
            <v>SKT ERP APP #2</v>
          </cell>
        </row>
        <row r="335">
          <cell r="A335" t="str">
            <v>erp_qa</v>
          </cell>
          <cell r="B335" t="str">
            <v>UX-CPU-HP-00020</v>
          </cell>
          <cell r="C335" t="str">
            <v>Y</v>
          </cell>
          <cell r="D335" t="str">
            <v>C</v>
          </cell>
          <cell r="F335" t="str">
            <v>ERP</v>
          </cell>
          <cell r="G335" t="str">
            <v>C/S</v>
          </cell>
          <cell r="H335" t="str">
            <v>보라매</v>
          </cell>
          <cell r="I335" t="str">
            <v>SKT ERP Q/A</v>
          </cell>
        </row>
        <row r="336">
          <cell r="A336" t="str">
            <v>erp_dev</v>
          </cell>
          <cell r="B336" t="str">
            <v>UX-CPU-HP-00021</v>
          </cell>
          <cell r="C336" t="str">
            <v>Y</v>
          </cell>
          <cell r="D336" t="str">
            <v>C</v>
          </cell>
          <cell r="F336" t="str">
            <v>ERP</v>
          </cell>
          <cell r="G336" t="str">
            <v>C/S</v>
          </cell>
          <cell r="H336" t="str">
            <v>보라매</v>
          </cell>
          <cell r="I336" t="str">
            <v>SKT ERP Dev</v>
          </cell>
        </row>
        <row r="337">
          <cell r="A337" t="str">
            <v>erp_dev2</v>
          </cell>
          <cell r="B337" t="str">
            <v>UX-CPU-HP-00100</v>
          </cell>
          <cell r="C337" t="str">
            <v>Y</v>
          </cell>
          <cell r="D337" t="str">
            <v>C</v>
          </cell>
          <cell r="F337" t="str">
            <v>ERP</v>
          </cell>
          <cell r="G337" t="str">
            <v>C/S</v>
          </cell>
          <cell r="H337" t="str">
            <v>보라매</v>
          </cell>
          <cell r="I337" t="str">
            <v>SKTelecom ERP</v>
          </cell>
        </row>
        <row r="338">
          <cell r="A338" t="str">
            <v>erp_qa2</v>
          </cell>
          <cell r="B338" t="str">
            <v>UX-CPU-HP-00115</v>
          </cell>
          <cell r="C338" t="str">
            <v>Y</v>
          </cell>
          <cell r="D338" t="str">
            <v>C</v>
          </cell>
          <cell r="F338" t="str">
            <v>ERP</v>
          </cell>
          <cell r="G338" t="str">
            <v>C/S</v>
          </cell>
          <cell r="H338" t="str">
            <v>보라매</v>
          </cell>
          <cell r="I338" t="str">
            <v>ERP</v>
          </cell>
        </row>
        <row r="339">
          <cell r="A339" t="str">
            <v>erp_ap3</v>
          </cell>
          <cell r="B339" t="str">
            <v>UX-CPU-HP-00116</v>
          </cell>
          <cell r="C339" t="str">
            <v>Y</v>
          </cell>
          <cell r="D339" t="str">
            <v>C</v>
          </cell>
          <cell r="F339" t="str">
            <v>ERP</v>
          </cell>
          <cell r="G339" t="str">
            <v>C/S</v>
          </cell>
          <cell r="H339" t="str">
            <v>보라매</v>
          </cell>
          <cell r="I339" t="str">
            <v>ERP</v>
          </cell>
        </row>
        <row r="340">
          <cell r="A340" t="str">
            <v>erp_tet</v>
          </cell>
          <cell r="B340" t="str">
            <v>UX-CPU-HP-00117</v>
          </cell>
          <cell r="C340" t="str">
            <v>Y</v>
          </cell>
          <cell r="D340" t="str">
            <v>C</v>
          </cell>
          <cell r="F340" t="str">
            <v>ERP</v>
          </cell>
          <cell r="G340" t="str">
            <v>C/S</v>
          </cell>
          <cell r="H340" t="str">
            <v>보라매</v>
          </cell>
          <cell r="I340" t="str">
            <v>ERP</v>
          </cell>
        </row>
        <row r="341">
          <cell r="A341" t="str">
            <v>MIS_TEST2</v>
          </cell>
          <cell r="B341" t="str">
            <v>NT-Server-CPU-Compaq-08148</v>
          </cell>
          <cell r="C341" t="str">
            <v>Y</v>
          </cell>
          <cell r="D341" t="str">
            <v>C</v>
          </cell>
          <cell r="F341" t="str">
            <v>MIS</v>
          </cell>
          <cell r="G341" t="str">
            <v>C/S</v>
          </cell>
          <cell r="H341" t="str">
            <v>보라매</v>
          </cell>
          <cell r="I341" t="str">
            <v>MIS개발/테스트</v>
          </cell>
        </row>
        <row r="342">
          <cell r="A342" t="str">
            <v>MIS_TEST1</v>
          </cell>
          <cell r="B342" t="str">
            <v>NT-Server-CPU-Compaq-08149</v>
          </cell>
          <cell r="C342" t="str">
            <v>Y</v>
          </cell>
          <cell r="D342" t="str">
            <v>C</v>
          </cell>
          <cell r="F342" t="str">
            <v>MIS</v>
          </cell>
          <cell r="G342" t="str">
            <v>C/S</v>
          </cell>
          <cell r="H342" t="str">
            <v>보라매</v>
          </cell>
          <cell r="I342" t="str">
            <v>MIS개발/테스트</v>
          </cell>
        </row>
        <row r="343">
          <cell r="A343" t="str">
            <v>MIS_TEST3</v>
          </cell>
          <cell r="B343" t="str">
            <v>NT-Server-CPU-Compaq-08150</v>
          </cell>
          <cell r="C343" t="str">
            <v>Y</v>
          </cell>
          <cell r="D343" t="str">
            <v>C</v>
          </cell>
          <cell r="F343" t="str">
            <v>MIS</v>
          </cell>
          <cell r="G343" t="str">
            <v>C/S</v>
          </cell>
          <cell r="H343" t="str">
            <v>보라매</v>
          </cell>
          <cell r="I343" t="str">
            <v>MIS개발/테스트</v>
          </cell>
        </row>
        <row r="344">
          <cell r="A344" t="str">
            <v>MIS_TEST4</v>
          </cell>
          <cell r="B344" t="str">
            <v>NT-Server-CPU-Compaq-08151</v>
          </cell>
          <cell r="C344" t="str">
            <v>Y</v>
          </cell>
          <cell r="D344" t="str">
            <v>C</v>
          </cell>
          <cell r="F344" t="str">
            <v>MIS</v>
          </cell>
          <cell r="G344" t="str">
            <v>C/S</v>
          </cell>
          <cell r="H344" t="str">
            <v>보라매</v>
          </cell>
          <cell r="I344" t="str">
            <v>MIS개발/테스트</v>
          </cell>
        </row>
        <row r="345">
          <cell r="A345" t="str">
            <v>kmt0</v>
          </cell>
          <cell r="B345" t="str">
            <v>UX-CPU-HP-00001</v>
          </cell>
          <cell r="C345" t="str">
            <v>Y</v>
          </cell>
          <cell r="D345" t="str">
            <v>C</v>
          </cell>
          <cell r="F345" t="str">
            <v>MIS</v>
          </cell>
          <cell r="G345" t="str">
            <v>C/S</v>
          </cell>
          <cell r="H345" t="str">
            <v>보라매</v>
          </cell>
          <cell r="I345" t="str">
            <v>MIS 재무</v>
          </cell>
        </row>
        <row r="346">
          <cell r="A346" t="str">
            <v>kmt1</v>
          </cell>
          <cell r="B346" t="str">
            <v>UX-CPU-HP-00002</v>
          </cell>
          <cell r="C346" t="str">
            <v>Y</v>
          </cell>
          <cell r="D346" t="str">
            <v>C</v>
          </cell>
          <cell r="F346" t="str">
            <v>MIS</v>
          </cell>
          <cell r="G346" t="str">
            <v>C/S</v>
          </cell>
          <cell r="H346" t="str">
            <v>보라매</v>
          </cell>
          <cell r="I346" t="str">
            <v>MIS 인사급여</v>
          </cell>
        </row>
        <row r="347">
          <cell r="A347" t="str">
            <v>skt22</v>
          </cell>
          <cell r="B347" t="str">
            <v>UX-CPU-HP-00003</v>
          </cell>
          <cell r="C347" t="str">
            <v>Y</v>
          </cell>
          <cell r="D347" t="str">
            <v>C</v>
          </cell>
          <cell r="F347" t="str">
            <v>MIS</v>
          </cell>
          <cell r="G347" t="str">
            <v>C/S</v>
          </cell>
          <cell r="H347" t="str">
            <v>보라매</v>
          </cell>
          <cell r="I347" t="str">
            <v>MIS 구매</v>
          </cell>
        </row>
        <row r="348">
          <cell r="A348" t="str">
            <v>kmt2</v>
          </cell>
          <cell r="B348" t="str">
            <v>UX-CPU-HP-00004</v>
          </cell>
          <cell r="C348" t="str">
            <v>Y</v>
          </cell>
          <cell r="D348" t="str">
            <v>C</v>
          </cell>
          <cell r="F348" t="str">
            <v>MIS</v>
          </cell>
          <cell r="G348" t="str">
            <v>C/S</v>
          </cell>
          <cell r="H348" t="str">
            <v>보라매</v>
          </cell>
          <cell r="I348" t="str">
            <v>MIS 시설</v>
          </cell>
        </row>
        <row r="349">
          <cell r="A349" t="str">
            <v>kmt5</v>
          </cell>
          <cell r="B349" t="str">
            <v>UX-CPU-HP-00005</v>
          </cell>
          <cell r="C349" t="str">
            <v>Y</v>
          </cell>
          <cell r="D349" t="str">
            <v>C</v>
          </cell>
          <cell r="F349" t="str">
            <v>MIS</v>
          </cell>
          <cell r="G349" t="str">
            <v>C/S</v>
          </cell>
          <cell r="H349" t="str">
            <v>보라매</v>
          </cell>
          <cell r="I349" t="str">
            <v>MIS 정보</v>
          </cell>
        </row>
        <row r="350">
          <cell r="A350" t="str">
            <v>kmt10</v>
          </cell>
          <cell r="B350" t="str">
            <v>UX-CPU-HP-00006</v>
          </cell>
          <cell r="C350" t="str">
            <v>Y</v>
          </cell>
          <cell r="D350" t="str">
            <v>C</v>
          </cell>
          <cell r="F350" t="str">
            <v>MIS</v>
          </cell>
          <cell r="G350" t="str">
            <v>C/S</v>
          </cell>
          <cell r="H350" t="str">
            <v>보라매</v>
          </cell>
          <cell r="I350" t="str">
            <v>MIS 개발</v>
          </cell>
        </row>
        <row r="351">
          <cell r="A351" t="str">
            <v>kmt0b</v>
          </cell>
          <cell r="B351" t="str">
            <v>UX-CPU-HP-00007</v>
          </cell>
          <cell r="C351" t="str">
            <v>Y</v>
          </cell>
          <cell r="D351" t="str">
            <v>C</v>
          </cell>
          <cell r="F351" t="str">
            <v>MIS</v>
          </cell>
          <cell r="G351" t="str">
            <v>C/S</v>
          </cell>
          <cell r="H351" t="str">
            <v>보라매</v>
          </cell>
          <cell r="I351" t="str">
            <v>MIS EIS</v>
          </cell>
        </row>
        <row r="352">
          <cell r="A352" t="str">
            <v>cis0</v>
          </cell>
          <cell r="B352" t="str">
            <v>UX-CPU-HP-00008</v>
          </cell>
          <cell r="C352" t="str">
            <v>Y</v>
          </cell>
          <cell r="D352" t="str">
            <v>C</v>
          </cell>
          <cell r="F352" t="str">
            <v>MIS</v>
          </cell>
          <cell r="G352" t="str">
            <v>C/S</v>
          </cell>
          <cell r="H352" t="str">
            <v>보라매</v>
          </cell>
          <cell r="I352" t="str">
            <v>MIS 미납통계</v>
          </cell>
        </row>
        <row r="353">
          <cell r="C353" t="str">
            <v>합계</v>
          </cell>
        </row>
        <row r="354">
          <cell r="A354" t="str">
            <v>NETSWORK5</v>
          </cell>
          <cell r="B354" t="str">
            <v>NT-Server-CPU-Compaq-08102</v>
          </cell>
          <cell r="C354" t="str">
            <v>Y</v>
          </cell>
          <cell r="D354" t="str">
            <v>C</v>
          </cell>
          <cell r="E354" t="str">
            <v>Supex Notes</v>
          </cell>
          <cell r="F354" t="str">
            <v>Supex Notes</v>
          </cell>
          <cell r="G354" t="str">
            <v>Web</v>
          </cell>
          <cell r="H354" t="str">
            <v>보라매</v>
          </cell>
          <cell r="I354" t="str">
            <v>SUPEX Note</v>
          </cell>
        </row>
        <row r="355">
          <cell r="A355" t="str">
            <v>mail</v>
          </cell>
          <cell r="B355" t="str">
            <v>UX-CPU-SUN-00012</v>
          </cell>
          <cell r="C355" t="str">
            <v>Y</v>
          </cell>
          <cell r="D355" t="str">
            <v>C</v>
          </cell>
          <cell r="E355" t="str">
            <v>Mailling</v>
          </cell>
          <cell r="F355" t="str">
            <v>Mail</v>
          </cell>
          <cell r="G355" t="str">
            <v>Web</v>
          </cell>
          <cell r="H355" t="str">
            <v>보라매</v>
          </cell>
          <cell r="I355" t="str">
            <v xml:space="preserve">MAIL 서버 </v>
          </cell>
        </row>
        <row r="356">
          <cell r="A356" t="str">
            <v>WebMail1</v>
          </cell>
          <cell r="B356" t="str">
            <v>UX-CPU-SUN-00083</v>
          </cell>
          <cell r="C356" t="str">
            <v>Y</v>
          </cell>
          <cell r="D356" t="str">
            <v>C</v>
          </cell>
          <cell r="E356" t="str">
            <v>Mailling</v>
          </cell>
          <cell r="F356" t="str">
            <v>Mail</v>
          </cell>
          <cell r="G356" t="str">
            <v>Web</v>
          </cell>
          <cell r="H356" t="str">
            <v>보라매</v>
          </cell>
          <cell r="I356" t="str">
            <v>Web Mail (1)</v>
          </cell>
        </row>
        <row r="357">
          <cell r="A357" t="str">
            <v>WMWas1</v>
          </cell>
          <cell r="B357" t="str">
            <v>UX-CPU-SUN-00084</v>
          </cell>
          <cell r="C357" t="str">
            <v>Y</v>
          </cell>
          <cell r="D357" t="str">
            <v>C</v>
          </cell>
          <cell r="E357" t="str">
            <v>Mailling</v>
          </cell>
          <cell r="F357" t="str">
            <v>Mail</v>
          </cell>
          <cell r="G357" t="str">
            <v>Web</v>
          </cell>
          <cell r="H357" t="str">
            <v>보라매</v>
          </cell>
          <cell r="I357" t="str">
            <v>Web Mail WAS (1)</v>
          </cell>
        </row>
        <row r="358">
          <cell r="A358" t="str">
            <v>WMWas2</v>
          </cell>
          <cell r="B358" t="str">
            <v>UX-CPU-SUN-00085</v>
          </cell>
          <cell r="C358" t="str">
            <v>Y</v>
          </cell>
          <cell r="D358" t="str">
            <v>C</v>
          </cell>
          <cell r="E358" t="str">
            <v>Mailling</v>
          </cell>
          <cell r="F358" t="str">
            <v>Mail</v>
          </cell>
          <cell r="G358" t="str">
            <v>Web</v>
          </cell>
          <cell r="H358" t="str">
            <v>보라매</v>
          </cell>
          <cell r="I358" t="str">
            <v>Web Mail WAS (2)</v>
          </cell>
        </row>
        <row r="359">
          <cell r="A359" t="str">
            <v>WMDB</v>
          </cell>
          <cell r="B359" t="str">
            <v>UX-CPU-SUN-00086</v>
          </cell>
          <cell r="C359" t="str">
            <v>Y</v>
          </cell>
          <cell r="D359" t="str">
            <v>C</v>
          </cell>
          <cell r="E359" t="str">
            <v>Mailling</v>
          </cell>
          <cell r="F359" t="str">
            <v>Mail</v>
          </cell>
          <cell r="G359" t="str">
            <v>Web</v>
          </cell>
          <cell r="H359" t="str">
            <v>보라매</v>
          </cell>
          <cell r="I359" t="str">
            <v>Web Mail DB Server</v>
          </cell>
        </row>
        <row r="360">
          <cell r="A360" t="str">
            <v>CS</v>
          </cell>
          <cell r="B360" t="str">
            <v>NT-Server-CPU-HP-08002</v>
          </cell>
          <cell r="C360" t="str">
            <v>Y</v>
          </cell>
          <cell r="D360" t="str">
            <v>C</v>
          </cell>
          <cell r="E360" t="str">
            <v>Homepage</v>
          </cell>
          <cell r="F360" t="str">
            <v>CS</v>
          </cell>
          <cell r="G360" t="str">
            <v>Web</v>
          </cell>
          <cell r="H360" t="str">
            <v>보라매</v>
          </cell>
          <cell r="I360" t="str">
            <v>인터넷제안마당</v>
          </cell>
        </row>
        <row r="361">
          <cell r="A361" t="str">
            <v>sktfw3</v>
          </cell>
          <cell r="B361" t="str">
            <v>UX-CPU-SUN-00008</v>
          </cell>
          <cell r="C361" t="str">
            <v>Y</v>
          </cell>
          <cell r="D361" t="str">
            <v>C</v>
          </cell>
          <cell r="E361" t="str">
            <v>Home page</v>
          </cell>
          <cell r="F361" t="str">
            <v>홈 페이지</v>
          </cell>
          <cell r="G361" t="str">
            <v>Web</v>
          </cell>
          <cell r="H361" t="str">
            <v>보라매</v>
          </cell>
          <cell r="I361" t="str">
            <v>sktfw1 (Firewall3)</v>
          </cell>
        </row>
        <row r="362">
          <cell r="A362" t="str">
            <v>white</v>
          </cell>
          <cell r="B362" t="str">
            <v>UX-CPU-SUN-00009</v>
          </cell>
          <cell r="C362" t="str">
            <v>Y</v>
          </cell>
          <cell r="D362" t="str">
            <v>C</v>
          </cell>
          <cell r="E362" t="str">
            <v>Home page</v>
          </cell>
          <cell r="F362" t="str">
            <v>홈 페이지</v>
          </cell>
          <cell r="G362" t="str">
            <v>Web</v>
          </cell>
          <cell r="H362" t="str">
            <v>보라매</v>
          </cell>
          <cell r="I362" t="str">
            <v>white</v>
          </cell>
        </row>
        <row r="363">
          <cell r="A363" t="str">
            <v>email2</v>
          </cell>
          <cell r="B363" t="str">
            <v>UX-CPU-SUN-00010</v>
          </cell>
          <cell r="C363" t="str">
            <v>Y</v>
          </cell>
          <cell r="D363" t="str">
            <v>C</v>
          </cell>
          <cell r="E363" t="str">
            <v>Home page</v>
          </cell>
          <cell r="F363" t="str">
            <v>홈 페이지</v>
          </cell>
          <cell r="G363" t="str">
            <v>Web</v>
          </cell>
          <cell r="H363" t="str">
            <v>보라매</v>
          </cell>
          <cell r="I363" t="str">
            <v>REAL</v>
          </cell>
        </row>
        <row r="364">
          <cell r="A364" t="str">
            <v>web</v>
          </cell>
          <cell r="B364" t="str">
            <v>UX-CPU-SUN-00011</v>
          </cell>
          <cell r="C364" t="str">
            <v>Y</v>
          </cell>
          <cell r="D364" t="str">
            <v>C</v>
          </cell>
          <cell r="E364" t="str">
            <v>Home page</v>
          </cell>
          <cell r="F364" t="str">
            <v>홈 페이지</v>
          </cell>
          <cell r="G364" t="str">
            <v>Web</v>
          </cell>
          <cell r="H364" t="str">
            <v>보라매</v>
          </cell>
          <cell r="I364" t="str">
            <v>WEB 서버</v>
          </cell>
        </row>
        <row r="365">
          <cell r="A365" t="str">
            <v>bpm</v>
          </cell>
          <cell r="B365" t="str">
            <v>UX-CPU-HP-00028</v>
          </cell>
          <cell r="C365" t="str">
            <v>Y</v>
          </cell>
          <cell r="D365" t="str">
            <v>C</v>
          </cell>
          <cell r="E365" t="str">
            <v>BPM</v>
          </cell>
          <cell r="F365" t="str">
            <v>BPM</v>
          </cell>
          <cell r="G365" t="str">
            <v>Web</v>
          </cell>
          <cell r="H365" t="str">
            <v>보라매</v>
          </cell>
          <cell r="I365" t="str">
            <v>BPM</v>
          </cell>
        </row>
        <row r="366">
          <cell r="A366" t="str">
            <v>patent</v>
          </cell>
          <cell r="B366" t="str">
            <v>UX-CPU-HP-00094</v>
          </cell>
          <cell r="C366" t="str">
            <v>Y</v>
          </cell>
          <cell r="D366" t="str">
            <v>C</v>
          </cell>
          <cell r="E366" t="str">
            <v>특허 관리</v>
          </cell>
          <cell r="F366" t="str">
            <v>특허 관리</v>
          </cell>
          <cell r="G366" t="str">
            <v>Web</v>
          </cell>
          <cell r="H366" t="str">
            <v>보라매</v>
          </cell>
          <cell r="I366" t="str">
            <v>특허관리</v>
          </cell>
        </row>
        <row r="367">
          <cell r="A367" t="str">
            <v>PDFSERVER</v>
          </cell>
          <cell r="B367" t="str">
            <v>NT-Server-CPU-Compaq-08100</v>
          </cell>
          <cell r="C367" t="str">
            <v>Y</v>
          </cell>
          <cell r="D367" t="str">
            <v>C</v>
          </cell>
          <cell r="E367" t="str">
            <v>정보</v>
          </cell>
          <cell r="F367" t="str">
            <v>문서관리</v>
          </cell>
          <cell r="G367" t="str">
            <v>Web</v>
          </cell>
          <cell r="H367" t="str">
            <v>보라매</v>
          </cell>
          <cell r="I367" t="str">
            <v>전자문서관리 PDF변환용</v>
          </cell>
        </row>
        <row r="368">
          <cell r="A368" t="str">
            <v>NTS_EDMS1</v>
          </cell>
          <cell r="B368" t="str">
            <v>NT-Server-CPU-Compaq-08101</v>
          </cell>
          <cell r="C368" t="str">
            <v>Y</v>
          </cell>
          <cell r="D368" t="str">
            <v>C</v>
          </cell>
          <cell r="E368" t="str">
            <v>정보</v>
          </cell>
          <cell r="F368" t="str">
            <v>문서관리</v>
          </cell>
          <cell r="G368" t="str">
            <v>Web</v>
          </cell>
          <cell r="H368" t="str">
            <v>보라매</v>
          </cell>
          <cell r="I368" t="str">
            <v>전자문서관리</v>
          </cell>
        </row>
        <row r="369">
          <cell r="A369" t="str">
            <v>SKT_APRV</v>
          </cell>
          <cell r="B369" t="str">
            <v>NT-Server-CPU-Compaq-08135</v>
          </cell>
          <cell r="C369" t="str">
            <v>Y</v>
          </cell>
          <cell r="D369" t="str">
            <v>C</v>
          </cell>
          <cell r="E369" t="str">
            <v>정보</v>
          </cell>
          <cell r="F369" t="str">
            <v>문서관리</v>
          </cell>
          <cell r="G369" t="str">
            <v>Web</v>
          </cell>
          <cell r="H369" t="str">
            <v>보라매</v>
          </cell>
          <cell r="I369" t="str">
            <v>전자결재서버</v>
          </cell>
        </row>
        <row r="370">
          <cell r="A370" t="str">
            <v>KMS2</v>
          </cell>
          <cell r="B370" t="str">
            <v>NT-Server-CPU-Compaq-08129</v>
          </cell>
          <cell r="C370" t="str">
            <v>Y</v>
          </cell>
          <cell r="D370" t="str">
            <v>C</v>
          </cell>
          <cell r="E370" t="str">
            <v>정보</v>
          </cell>
          <cell r="F370" t="str">
            <v>지식관리</v>
          </cell>
          <cell r="G370" t="str">
            <v>Web</v>
          </cell>
          <cell r="H370" t="str">
            <v>보라매</v>
          </cell>
          <cell r="I370" t="str">
            <v>지식관리서비스</v>
          </cell>
        </row>
        <row r="371">
          <cell r="A371" t="str">
            <v>KMS1</v>
          </cell>
          <cell r="B371" t="str">
            <v>NT-Server-CPU-Compaq-08130</v>
          </cell>
          <cell r="C371" t="str">
            <v>Y</v>
          </cell>
          <cell r="D371" t="str">
            <v>C</v>
          </cell>
          <cell r="E371" t="str">
            <v>정보</v>
          </cell>
          <cell r="F371" t="str">
            <v>지식관리</v>
          </cell>
          <cell r="G371" t="str">
            <v>Web</v>
          </cell>
          <cell r="H371" t="str">
            <v>보라매</v>
          </cell>
          <cell r="I371" t="str">
            <v>지시관리서비스</v>
          </cell>
        </row>
        <row r="372">
          <cell r="A372" t="str">
            <v>INFORMATION2</v>
          </cell>
          <cell r="B372" t="str">
            <v>NT-Server-CPU-Compaq-08122</v>
          </cell>
          <cell r="C372" t="str">
            <v>Y</v>
          </cell>
          <cell r="D372" t="str">
            <v>C</v>
          </cell>
          <cell r="E372" t="str">
            <v>정보</v>
          </cell>
          <cell r="F372" t="str">
            <v>SKALIB</v>
          </cell>
          <cell r="G372" t="str">
            <v>Web</v>
          </cell>
          <cell r="H372" t="str">
            <v>보라매</v>
          </cell>
          <cell r="I372" t="str">
            <v>SKALIB(도서정보조회)</v>
          </cell>
        </row>
        <row r="373">
          <cell r="A373" t="str">
            <v>NTS_INFO</v>
          </cell>
          <cell r="B373" t="str">
            <v>NT-Server-CPU-Compaq-08099</v>
          </cell>
          <cell r="C373" t="str">
            <v>Y</v>
          </cell>
          <cell r="D373" t="str">
            <v>C</v>
          </cell>
          <cell r="E373" t="str">
            <v>정보</v>
          </cell>
          <cell r="F373" t="str">
            <v>SKINET</v>
          </cell>
          <cell r="G373" t="str">
            <v>Web</v>
          </cell>
          <cell r="H373" t="str">
            <v>보라매</v>
          </cell>
          <cell r="I373" t="str">
            <v>SKINET</v>
          </cell>
        </row>
        <row r="374">
          <cell r="A374" t="str">
            <v>R3C3E2KO</v>
          </cell>
          <cell r="B374" t="str">
            <v>UX-CPU-RS6000-00150</v>
          </cell>
          <cell r="C374" t="str">
            <v>Y</v>
          </cell>
          <cell r="D374" t="str">
            <v>C</v>
          </cell>
          <cell r="E374" t="str">
            <v>연구</v>
          </cell>
          <cell r="F374" t="str">
            <v>CMS</v>
          </cell>
          <cell r="G374" t="str">
            <v>Web</v>
          </cell>
          <cell r="H374" t="str">
            <v>서부</v>
          </cell>
          <cell r="I374" t="str">
            <v>CMS Server</v>
          </cell>
        </row>
        <row r="375">
          <cell r="A375" t="str">
            <v>r3a7edkr</v>
          </cell>
          <cell r="B375" t="str">
            <v>UX-CPU-SUN-00133</v>
          </cell>
          <cell r="C375" t="str">
            <v>Y</v>
          </cell>
          <cell r="D375" t="str">
            <v>C</v>
          </cell>
          <cell r="E375" t="str">
            <v>연구</v>
          </cell>
          <cell r="F375" t="str">
            <v>CMS</v>
          </cell>
          <cell r="G375" t="str">
            <v>Web</v>
          </cell>
          <cell r="H375" t="str">
            <v>구로</v>
          </cell>
          <cell r="I375" t="str">
            <v>CMS 통계용</v>
          </cell>
        </row>
        <row r="376">
          <cell r="A376" t="str">
            <v>r3f128ko</v>
          </cell>
          <cell r="B376" t="str">
            <v>UX-CPU-SUN-00134</v>
          </cell>
          <cell r="C376" t="str">
            <v>Y</v>
          </cell>
          <cell r="D376" t="str">
            <v>C</v>
          </cell>
          <cell r="E376" t="str">
            <v>연구</v>
          </cell>
          <cell r="F376" t="str">
            <v>CMS</v>
          </cell>
          <cell r="G376" t="str">
            <v>Web</v>
          </cell>
          <cell r="H376" t="str">
            <v>구로</v>
          </cell>
          <cell r="I376" t="str">
            <v>CMS 통계용 - 구로 / 장안</v>
          </cell>
        </row>
        <row r="377">
          <cell r="A377" t="str">
            <v>SKTCA2</v>
          </cell>
          <cell r="B377" t="str">
            <v>UX-CPU-SUN-00153</v>
          </cell>
          <cell r="C377" t="str">
            <v>Y</v>
          </cell>
          <cell r="D377" t="str">
            <v>C</v>
          </cell>
          <cell r="F377" t="str">
            <v>CA</v>
          </cell>
          <cell r="G377" t="str">
            <v>Web</v>
          </cell>
          <cell r="H377" t="str">
            <v>보라매</v>
          </cell>
          <cell r="I377" t="str">
            <v>CA Server</v>
          </cell>
        </row>
        <row r="378">
          <cell r="A378" t="str">
            <v>SKTCADB</v>
          </cell>
          <cell r="B378" t="str">
            <v>UX-CPU-SUN-00154</v>
          </cell>
          <cell r="C378" t="str">
            <v>Y</v>
          </cell>
          <cell r="D378" t="str">
            <v>C</v>
          </cell>
          <cell r="F378" t="str">
            <v>CA</v>
          </cell>
          <cell r="G378" t="str">
            <v>Web</v>
          </cell>
          <cell r="H378" t="str">
            <v>보라매</v>
          </cell>
          <cell r="I378" t="str">
            <v>CA DB Server</v>
          </cell>
        </row>
        <row r="379">
          <cell r="A379" t="str">
            <v>DEVELOPER</v>
          </cell>
          <cell r="B379" t="str">
            <v>NT-Server-CPU-Compaq-08098</v>
          </cell>
          <cell r="C379" t="str">
            <v>Y</v>
          </cell>
          <cell r="D379" t="str">
            <v>C</v>
          </cell>
          <cell r="F379" t="str">
            <v>Developer</v>
          </cell>
          <cell r="G379" t="str">
            <v>Web</v>
          </cell>
          <cell r="H379" t="str">
            <v>보라매</v>
          </cell>
          <cell r="I379" t="str">
            <v>통화지역관리(상담용)</v>
          </cell>
        </row>
        <row r="380">
          <cell r="A380" t="str">
            <v>DOMAIN_DNS</v>
          </cell>
          <cell r="B380" t="str">
            <v>NT-Server-CPU-Compaq-08105</v>
          </cell>
          <cell r="C380" t="str">
            <v>Y</v>
          </cell>
          <cell r="D380" t="str">
            <v>C</v>
          </cell>
          <cell r="F380" t="str">
            <v>DNS</v>
          </cell>
          <cell r="G380" t="str">
            <v>Web</v>
          </cell>
          <cell r="H380" t="str">
            <v>보라매</v>
          </cell>
          <cell r="I380" t="str">
            <v>DNS Service</v>
          </cell>
        </row>
        <row r="381">
          <cell r="A381" t="str">
            <v>GREEN_DNS</v>
          </cell>
          <cell r="B381" t="str">
            <v>NT-Server-CPU-Compaq-08103</v>
          </cell>
          <cell r="C381" t="str">
            <v>Y</v>
          </cell>
          <cell r="D381" t="str">
            <v>C</v>
          </cell>
          <cell r="F381" t="str">
            <v>DNS</v>
          </cell>
          <cell r="G381" t="str">
            <v>Web</v>
          </cell>
          <cell r="H381" t="str">
            <v>SKT그린 B/D</v>
          </cell>
          <cell r="I381" t="str">
            <v>DNS Service</v>
          </cell>
        </row>
        <row r="382">
          <cell r="A382" t="str">
            <v>DAEGU_DNS</v>
          </cell>
          <cell r="B382" t="str">
            <v>NT-Server-CPU-Compaq-08104</v>
          </cell>
          <cell r="C382" t="str">
            <v>Y</v>
          </cell>
          <cell r="D382" t="str">
            <v>C</v>
          </cell>
          <cell r="F382" t="str">
            <v>DNS</v>
          </cell>
          <cell r="G382" t="str">
            <v>Web</v>
          </cell>
          <cell r="H382" t="str">
            <v>SKT대구지사</v>
          </cell>
          <cell r="I382" t="str">
            <v>DNS Service</v>
          </cell>
        </row>
        <row r="383">
          <cell r="A383" t="str">
            <v>PUSAN_DNS</v>
          </cell>
          <cell r="B383" t="str">
            <v>NT-Server-CPU-Compaq-08106</v>
          </cell>
          <cell r="C383" t="str">
            <v>Y</v>
          </cell>
          <cell r="D383" t="str">
            <v>C</v>
          </cell>
          <cell r="F383" t="str">
            <v>DNS</v>
          </cell>
          <cell r="G383" t="str">
            <v>Web</v>
          </cell>
          <cell r="H383" t="str">
            <v>SKT부산지사</v>
          </cell>
          <cell r="I383" t="str">
            <v>DNS Service</v>
          </cell>
        </row>
        <row r="384">
          <cell r="A384" t="str">
            <v>JUNNAM_DNS</v>
          </cell>
          <cell r="B384" t="str">
            <v>NT-Server-CPU-Compaq-08107</v>
          </cell>
          <cell r="C384" t="str">
            <v>Y</v>
          </cell>
          <cell r="D384" t="str">
            <v>C</v>
          </cell>
          <cell r="F384" t="str">
            <v>DNS</v>
          </cell>
          <cell r="G384" t="str">
            <v>Web</v>
          </cell>
          <cell r="H384" t="str">
            <v>SKT서부지사(전남)</v>
          </cell>
          <cell r="I384" t="str">
            <v>DNS Service</v>
          </cell>
        </row>
        <row r="385">
          <cell r="A385" t="str">
            <v>JUNBUK_DNS</v>
          </cell>
          <cell r="B385" t="str">
            <v>NT-Server-CPU-Compaq-08108</v>
          </cell>
          <cell r="C385" t="str">
            <v>Y</v>
          </cell>
          <cell r="D385" t="str">
            <v>C</v>
          </cell>
          <cell r="F385" t="str">
            <v>DNS</v>
          </cell>
          <cell r="G385" t="str">
            <v>Web</v>
          </cell>
          <cell r="H385" t="str">
            <v>SKT서부지사(전북)</v>
          </cell>
          <cell r="I385" t="str">
            <v>DNS Service</v>
          </cell>
        </row>
        <row r="386">
          <cell r="A386" t="str">
            <v>JEJU_DNS</v>
          </cell>
          <cell r="B386" t="str">
            <v>NT-Server-CPU-Compaq-08109</v>
          </cell>
          <cell r="C386" t="str">
            <v>Y</v>
          </cell>
          <cell r="D386" t="str">
            <v>C</v>
          </cell>
          <cell r="F386" t="str">
            <v>DNS</v>
          </cell>
          <cell r="G386" t="str">
            <v>Web</v>
          </cell>
          <cell r="H386" t="str">
            <v>SKT서부지사(제주)</v>
          </cell>
          <cell r="I386" t="str">
            <v>DNS Service</v>
          </cell>
        </row>
        <row r="387">
          <cell r="A387" t="str">
            <v>WONJU_DNS</v>
          </cell>
          <cell r="B387" t="str">
            <v>NT-Server-CPU-Compaq-08040</v>
          </cell>
          <cell r="C387" t="str">
            <v>Y</v>
          </cell>
          <cell r="D387" t="str">
            <v>C</v>
          </cell>
          <cell r="F387" t="str">
            <v>DNS</v>
          </cell>
          <cell r="G387" t="str">
            <v>Web</v>
          </cell>
          <cell r="H387" t="str">
            <v>SKT중부지사(강원)</v>
          </cell>
          <cell r="I387" t="str">
            <v>DNS Service</v>
          </cell>
        </row>
        <row r="388">
          <cell r="A388" t="str">
            <v>DAEJUN_DNS</v>
          </cell>
          <cell r="B388" t="str">
            <v>NT-Server-CPU-Compaq-08111</v>
          </cell>
          <cell r="C388" t="str">
            <v>Y</v>
          </cell>
          <cell r="D388" t="str">
            <v>C</v>
          </cell>
          <cell r="F388" t="str">
            <v>DNS</v>
          </cell>
          <cell r="G388" t="str">
            <v>Web</v>
          </cell>
          <cell r="H388" t="str">
            <v>SKT중부지사(충남)</v>
          </cell>
          <cell r="I388" t="str">
            <v>DNS Service</v>
          </cell>
        </row>
        <row r="389">
          <cell r="A389" t="str">
            <v>CHEONGJU_DNS</v>
          </cell>
          <cell r="B389" t="str">
            <v>NT-Server-CPU-Compaq-08112</v>
          </cell>
          <cell r="C389" t="str">
            <v>Y</v>
          </cell>
          <cell r="D389" t="str">
            <v>C</v>
          </cell>
          <cell r="F389" t="str">
            <v>DNS</v>
          </cell>
          <cell r="G389" t="str">
            <v>Web</v>
          </cell>
          <cell r="H389" t="str">
            <v>SKT중부지사(충북)</v>
          </cell>
          <cell r="I389" t="str">
            <v>DNS Service</v>
          </cell>
        </row>
        <row r="390">
          <cell r="A390" t="str">
            <v>gate</v>
          </cell>
          <cell r="B390" t="str">
            <v>UX-CPU-SUN-00005</v>
          </cell>
          <cell r="C390" t="str">
            <v>Y</v>
          </cell>
          <cell r="D390" t="str">
            <v>C</v>
          </cell>
          <cell r="F390" t="str">
            <v>gate</v>
          </cell>
          <cell r="G390" t="str">
            <v>Web</v>
          </cell>
          <cell r="H390" t="str">
            <v>보라매</v>
          </cell>
          <cell r="I390" t="str">
            <v>GATE (DNS)</v>
          </cell>
        </row>
        <row r="391">
          <cell r="A391" t="str">
            <v>hcs</v>
          </cell>
          <cell r="B391" t="str">
            <v>UX-CPU-RS6000-00011</v>
          </cell>
          <cell r="C391" t="str">
            <v>Y</v>
          </cell>
          <cell r="D391" t="str">
            <v>C</v>
          </cell>
          <cell r="F391" t="str">
            <v>HCS</v>
          </cell>
          <cell r="G391" t="str">
            <v>Web</v>
          </cell>
          <cell r="H391" t="str">
            <v>보라매</v>
          </cell>
          <cell r="I391" t="str">
            <v>HCS</v>
          </cell>
        </row>
        <row r="392">
          <cell r="A392" t="str">
            <v>RVCIN</v>
          </cell>
          <cell r="B392" t="str">
            <v>NT-Server-CPU-Compaq-08141</v>
          </cell>
          <cell r="C392" t="str">
            <v>Y</v>
          </cell>
          <cell r="D392" t="str">
            <v>C</v>
          </cell>
          <cell r="F392" t="str">
            <v>RVC(협력업체/차량관리)</v>
          </cell>
          <cell r="G392" t="str">
            <v>Web</v>
          </cell>
          <cell r="H392" t="str">
            <v>보라매</v>
          </cell>
          <cell r="I392" t="str">
            <v>협력업체관리/차량관리</v>
          </cell>
        </row>
        <row r="393">
          <cell r="A393" t="str">
            <v>RVCEX</v>
          </cell>
          <cell r="B393" t="str">
            <v>NT-Server-CPU-Compaq-08142</v>
          </cell>
          <cell r="C393" t="str">
            <v>Y</v>
          </cell>
          <cell r="D393" t="str">
            <v>C</v>
          </cell>
          <cell r="F393" t="str">
            <v>RVC(협력업체/차량관리)</v>
          </cell>
          <cell r="G393" t="str">
            <v>Web</v>
          </cell>
          <cell r="H393" t="str">
            <v>보라매</v>
          </cell>
          <cell r="I393" t="str">
            <v>협력업체관리/차량관리</v>
          </cell>
        </row>
        <row r="394">
          <cell r="A394" t="str">
            <v>skdb1</v>
          </cell>
          <cell r="B394" t="str">
            <v>UX-CPU-HP-00014</v>
          </cell>
          <cell r="C394" t="str">
            <v>Y</v>
          </cell>
          <cell r="D394" t="str">
            <v>C</v>
          </cell>
          <cell r="F394" t="str">
            <v>SKDB</v>
          </cell>
          <cell r="G394" t="str">
            <v>Web</v>
          </cell>
          <cell r="H394" t="str">
            <v>보라매</v>
          </cell>
          <cell r="I394" t="str">
            <v xml:space="preserve">SKDB </v>
          </cell>
        </row>
        <row r="395">
          <cell r="A395" t="str">
            <v>SKDB2</v>
          </cell>
          <cell r="B395" t="str">
            <v>UX-CPU-HP-00101</v>
          </cell>
          <cell r="C395" t="str">
            <v>Y</v>
          </cell>
          <cell r="D395" t="str">
            <v>C</v>
          </cell>
          <cell r="F395" t="str">
            <v>SKDB</v>
          </cell>
          <cell r="G395" t="str">
            <v>Web</v>
          </cell>
          <cell r="H395" t="str">
            <v>보라매</v>
          </cell>
          <cell r="I395" t="str">
            <v>SKT Webservice DB</v>
          </cell>
        </row>
        <row r="396">
          <cell r="C396" t="str">
            <v>합계</v>
          </cell>
        </row>
        <row r="397">
          <cell r="A397" t="str">
            <v>READER</v>
          </cell>
          <cell r="B397" t="str">
            <v>NT-Server-CPU-ETC-09135</v>
          </cell>
          <cell r="C397" t="str">
            <v>Y</v>
          </cell>
          <cell r="D397" t="str">
            <v>D</v>
          </cell>
          <cell r="E397" t="str">
            <v>인트라넷</v>
          </cell>
          <cell r="F397" t="str">
            <v>전광판</v>
          </cell>
          <cell r="G397" t="str">
            <v>C/S</v>
          </cell>
          <cell r="H397" t="str">
            <v>구로 콜센터</v>
          </cell>
          <cell r="I397" t="str">
            <v>전광판 Data 전송서버</v>
          </cell>
        </row>
        <row r="398">
          <cell r="A398" t="str">
            <v>전광판1</v>
          </cell>
          <cell r="B398" t="str">
            <v>NT-Server-CPU-ETC-09136</v>
          </cell>
          <cell r="C398" t="str">
            <v>Y</v>
          </cell>
          <cell r="D398" t="str">
            <v>D</v>
          </cell>
          <cell r="E398" t="str">
            <v>인트라넷</v>
          </cell>
          <cell r="F398" t="str">
            <v>전광판</v>
          </cell>
          <cell r="G398" t="str">
            <v>C/S</v>
          </cell>
          <cell r="H398" t="str">
            <v>구로 콜센터</v>
          </cell>
          <cell r="I398" t="str">
            <v>상담 전광판 Data 생성</v>
          </cell>
        </row>
        <row r="399">
          <cell r="A399" t="str">
            <v>전광판2</v>
          </cell>
          <cell r="B399" t="str">
            <v>NT-Server-CPU-ETC-09137</v>
          </cell>
          <cell r="C399" t="str">
            <v>Y</v>
          </cell>
          <cell r="D399" t="str">
            <v>D</v>
          </cell>
          <cell r="E399" t="str">
            <v>인트라넷</v>
          </cell>
          <cell r="F399" t="str">
            <v>전광판</v>
          </cell>
          <cell r="G399" t="str">
            <v>C/S</v>
          </cell>
          <cell r="H399" t="str">
            <v>구로 콜센터</v>
          </cell>
          <cell r="I399" t="str">
            <v>고객센터 전광판</v>
          </cell>
        </row>
        <row r="400">
          <cell r="A400" t="str">
            <v>전광판</v>
          </cell>
          <cell r="B400" t="str">
            <v>NT-Server-CPU-ETC-09138</v>
          </cell>
          <cell r="C400" t="str">
            <v>Y</v>
          </cell>
          <cell r="D400" t="str">
            <v>D</v>
          </cell>
          <cell r="E400" t="str">
            <v>인트라넷</v>
          </cell>
          <cell r="F400" t="str">
            <v>전광판</v>
          </cell>
          <cell r="G400" t="str">
            <v>C/S</v>
          </cell>
          <cell r="H400" t="str">
            <v>구로 콜센터</v>
          </cell>
          <cell r="I400" t="str">
            <v>고객센터 전광판</v>
          </cell>
        </row>
        <row r="401">
          <cell r="A401" t="str">
            <v>myfax</v>
          </cell>
          <cell r="C401" t="str">
            <v>Y</v>
          </cell>
          <cell r="D401" t="str">
            <v>D</v>
          </cell>
          <cell r="E401" t="str">
            <v>인트라넷</v>
          </cell>
          <cell r="F401" t="str">
            <v>FoIP</v>
          </cell>
          <cell r="G401" t="str">
            <v>C/S</v>
          </cell>
          <cell r="H401" t="str">
            <v>보라매</v>
          </cell>
          <cell r="I401" t="str">
            <v>Fax Over IP</v>
          </cell>
        </row>
        <row r="402">
          <cell r="C402" t="str">
            <v>합계</v>
          </cell>
        </row>
        <row r="403">
          <cell r="A403" t="str">
            <v>NETSWORK6</v>
          </cell>
          <cell r="B403" t="str">
            <v>NT-Server-CPU-HP-08003</v>
          </cell>
          <cell r="C403" t="str">
            <v>Y</v>
          </cell>
          <cell r="D403" t="str">
            <v>D</v>
          </cell>
          <cell r="E403" t="str">
            <v>인트라넷</v>
          </cell>
          <cell r="F403" t="str">
            <v>사내 메일</v>
          </cell>
          <cell r="G403" t="str">
            <v>Web</v>
          </cell>
          <cell r="H403" t="str">
            <v>보라매</v>
          </cell>
          <cell r="I403" t="str">
            <v>홍보실 홈페이지 관리</v>
          </cell>
        </row>
        <row r="404">
          <cell r="A404" t="str">
            <v>NETSWORK7</v>
          </cell>
          <cell r="B404" t="str">
            <v>NT-Server-CPU-HP-08004</v>
          </cell>
          <cell r="C404" t="str">
            <v>Y</v>
          </cell>
          <cell r="D404" t="str">
            <v>D</v>
          </cell>
          <cell r="E404" t="str">
            <v>인트라넷</v>
          </cell>
          <cell r="F404" t="str">
            <v>사내 메일</v>
          </cell>
          <cell r="G404" t="str">
            <v>Web</v>
          </cell>
          <cell r="H404" t="str">
            <v>보라매</v>
          </cell>
          <cell r="I404" t="str">
            <v>인트라넷BBS1 서비스Test</v>
          </cell>
        </row>
        <row r="405">
          <cell r="A405" t="str">
            <v>NETSWORK3</v>
          </cell>
          <cell r="B405" t="str">
            <v>NT-Server-CPU-HP-08005</v>
          </cell>
          <cell r="C405" t="str">
            <v>Y</v>
          </cell>
          <cell r="D405" t="str">
            <v>D</v>
          </cell>
          <cell r="E405" t="str">
            <v>인트라넷</v>
          </cell>
          <cell r="F405" t="str">
            <v>사내 메일</v>
          </cell>
          <cell r="G405" t="str">
            <v>Web</v>
          </cell>
          <cell r="H405" t="str">
            <v>보라매</v>
          </cell>
          <cell r="I405" t="str">
            <v>인트라넷(BBS1)</v>
          </cell>
        </row>
        <row r="406">
          <cell r="A406" t="str">
            <v>NETSWORK</v>
          </cell>
          <cell r="B406" t="str">
            <v>NT-Server-CPU-Compaq-08132</v>
          </cell>
          <cell r="C406" t="str">
            <v>Y</v>
          </cell>
          <cell r="D406" t="str">
            <v>D</v>
          </cell>
          <cell r="E406" t="str">
            <v>인트라넷</v>
          </cell>
          <cell r="F406" t="str">
            <v>사내 메일</v>
          </cell>
          <cell r="G406" t="str">
            <v>Web</v>
          </cell>
          <cell r="H406" t="str">
            <v>보라매</v>
          </cell>
          <cell r="I406" t="str">
            <v>인트라넷 로그온</v>
          </cell>
        </row>
        <row r="407">
          <cell r="A407" t="str">
            <v>NETSWORK2</v>
          </cell>
          <cell r="B407" t="str">
            <v>NT-Server-CPU-Compaq-08133</v>
          </cell>
          <cell r="C407" t="str">
            <v>Y</v>
          </cell>
          <cell r="D407" t="str">
            <v>D</v>
          </cell>
          <cell r="E407" t="str">
            <v>인트라넷</v>
          </cell>
          <cell r="F407" t="str">
            <v>사내 메일</v>
          </cell>
          <cell r="G407" t="str">
            <v>Web</v>
          </cell>
          <cell r="H407" t="str">
            <v>보라매</v>
          </cell>
          <cell r="I407" t="str">
            <v>인트라넷 메일1</v>
          </cell>
        </row>
        <row r="408">
          <cell r="A408" t="str">
            <v>NETSWORK4</v>
          </cell>
          <cell r="B408" t="str">
            <v>NT-Server-CPU-Compaq-08134</v>
          </cell>
          <cell r="C408" t="str">
            <v>Y</v>
          </cell>
          <cell r="D408" t="str">
            <v>D</v>
          </cell>
          <cell r="E408" t="str">
            <v>인트라넷</v>
          </cell>
          <cell r="F408" t="str">
            <v>사내 메일</v>
          </cell>
          <cell r="G408" t="str">
            <v>Web</v>
          </cell>
          <cell r="H408" t="str">
            <v>보라매</v>
          </cell>
          <cell r="I408" t="str">
            <v>인트라넷 메일2</v>
          </cell>
        </row>
        <row r="409">
          <cell r="C409" t="str">
            <v>합계</v>
          </cell>
        </row>
        <row r="410">
          <cell r="A410" t="str">
            <v>LCCDWEB2</v>
          </cell>
          <cell r="B410" t="str">
            <v>UX-CPU-HP-00103</v>
          </cell>
          <cell r="C410" t="str">
            <v>Y</v>
          </cell>
          <cell r="D410" t="str">
            <v>E</v>
          </cell>
          <cell r="E410" t="str">
            <v>Home Page</v>
          </cell>
          <cell r="F410" t="str">
            <v>리더스클럽(Homepage)</v>
          </cell>
          <cell r="G410" t="str">
            <v>Web</v>
          </cell>
          <cell r="H410" t="str">
            <v>보라매</v>
          </cell>
          <cell r="I410" t="str">
            <v>Web service(인증)</v>
          </cell>
        </row>
        <row r="411">
          <cell r="A411" t="str">
            <v>LCCDWEB1</v>
          </cell>
          <cell r="B411" t="str">
            <v>UX-CPU-HP-00104</v>
          </cell>
          <cell r="C411" t="str">
            <v>Y</v>
          </cell>
          <cell r="D411" t="str">
            <v>E</v>
          </cell>
          <cell r="E411" t="str">
            <v>Home Page</v>
          </cell>
          <cell r="F411" t="str">
            <v>리더스클럽(Homepage)</v>
          </cell>
          <cell r="G411" t="str">
            <v>Web</v>
          </cell>
          <cell r="H411" t="str">
            <v>보라매</v>
          </cell>
          <cell r="I411" t="str">
            <v>Web service(인증)</v>
          </cell>
        </row>
        <row r="412">
          <cell r="A412" t="str">
            <v>LCWEB1</v>
          </cell>
          <cell r="B412" t="str">
            <v>UX-CPU-HP-00105</v>
          </cell>
          <cell r="C412" t="str">
            <v>Y</v>
          </cell>
          <cell r="D412" t="str">
            <v>E</v>
          </cell>
          <cell r="E412" t="str">
            <v>Home Page</v>
          </cell>
          <cell r="F412" t="str">
            <v>리더스클럽(Homepage)</v>
          </cell>
          <cell r="G412" t="str">
            <v>Web</v>
          </cell>
          <cell r="H412" t="str">
            <v>보라매</v>
          </cell>
          <cell r="I412" t="str">
            <v>Web service(Contents)</v>
          </cell>
        </row>
        <row r="413">
          <cell r="A413" t="str">
            <v>LCWEB2</v>
          </cell>
          <cell r="B413" t="str">
            <v>UX-CPU-HP-00106</v>
          </cell>
          <cell r="C413" t="str">
            <v>Y</v>
          </cell>
          <cell r="D413" t="str">
            <v>E</v>
          </cell>
          <cell r="E413" t="str">
            <v>Home Page</v>
          </cell>
          <cell r="F413" t="str">
            <v>리더스클럽(Homepage)</v>
          </cell>
          <cell r="G413" t="str">
            <v>Web</v>
          </cell>
          <cell r="H413" t="str">
            <v>보라매</v>
          </cell>
          <cell r="I413" t="str">
            <v>Web service(Contents)</v>
          </cell>
        </row>
        <row r="414">
          <cell r="A414" t="str">
            <v>LCWAS1</v>
          </cell>
          <cell r="B414" t="str">
            <v>UX-CPU-HP-00110</v>
          </cell>
          <cell r="C414" t="str">
            <v>Y</v>
          </cell>
          <cell r="D414" t="str">
            <v>E</v>
          </cell>
          <cell r="E414" t="str">
            <v>Home Page</v>
          </cell>
          <cell r="F414" t="str">
            <v>리더스클럽(Homepage)</v>
          </cell>
          <cell r="G414" t="str">
            <v>Web</v>
          </cell>
          <cell r="H414" t="str">
            <v>보라매</v>
          </cell>
          <cell r="I414" t="str">
            <v>Contents / 인증 WAS server</v>
          </cell>
        </row>
        <row r="415">
          <cell r="A415" t="str">
            <v>LCWAS2</v>
          </cell>
          <cell r="B415" t="str">
            <v>UX-CPU-HP-00111</v>
          </cell>
          <cell r="C415" t="str">
            <v>Y</v>
          </cell>
          <cell r="D415" t="str">
            <v>E</v>
          </cell>
          <cell r="E415" t="str">
            <v>Home Page</v>
          </cell>
          <cell r="F415" t="str">
            <v>리더스클럽(Homepage)</v>
          </cell>
          <cell r="G415" t="str">
            <v>Web</v>
          </cell>
          <cell r="H415" t="str">
            <v>보라매</v>
          </cell>
          <cell r="I415" t="str">
            <v>Contents / 인증 WAS server</v>
          </cell>
        </row>
        <row r="416">
          <cell r="A416" t="str">
            <v>R2K03</v>
          </cell>
          <cell r="B416" t="str">
            <v>UX-CPU-HP-00112</v>
          </cell>
          <cell r="C416" t="str">
            <v>Y</v>
          </cell>
          <cell r="D416" t="str">
            <v>E</v>
          </cell>
          <cell r="E416" t="str">
            <v>Home Page</v>
          </cell>
          <cell r="F416" t="str">
            <v>리더스클럽(Homepage)</v>
          </cell>
          <cell r="G416" t="str">
            <v>Web</v>
          </cell>
          <cell r="H416" t="str">
            <v>보라매</v>
          </cell>
          <cell r="I416" t="str">
            <v>R2K DB 서버</v>
          </cell>
        </row>
        <row r="417">
          <cell r="A417" t="str">
            <v>R2KDev</v>
          </cell>
          <cell r="B417" t="str">
            <v>UX-CPU-HP-00142</v>
          </cell>
          <cell r="C417" t="str">
            <v>Y</v>
          </cell>
          <cell r="D417" t="str">
            <v>E</v>
          </cell>
          <cell r="E417" t="str">
            <v>Home Page</v>
          </cell>
          <cell r="F417" t="str">
            <v>리더스클럽(Homepage)</v>
          </cell>
          <cell r="G417" t="str">
            <v>Web</v>
          </cell>
          <cell r="H417" t="str">
            <v>보라매</v>
          </cell>
          <cell r="I417" t="str">
            <v>R2K Development Server</v>
          </cell>
        </row>
        <row r="418">
          <cell r="A418" t="str">
            <v>LDSDev</v>
          </cell>
          <cell r="B418" t="str">
            <v>UX-CPU-HP-00143</v>
          </cell>
          <cell r="C418" t="str">
            <v>Y</v>
          </cell>
          <cell r="D418" t="str">
            <v>E</v>
          </cell>
          <cell r="E418" t="str">
            <v>Home Page</v>
          </cell>
          <cell r="F418" t="str">
            <v>리더스클럽(Homepage)</v>
          </cell>
          <cell r="G418" t="str">
            <v>Web</v>
          </cell>
          <cell r="H418" t="str">
            <v>보라매</v>
          </cell>
          <cell r="I418" t="str">
            <v>LeadersClub Web Server</v>
          </cell>
        </row>
        <row r="419">
          <cell r="A419" t="str">
            <v>LCWAS3</v>
          </cell>
          <cell r="B419" t="str">
            <v>UX-CPU-HP-00144</v>
          </cell>
          <cell r="C419" t="str">
            <v>Y</v>
          </cell>
          <cell r="D419" t="str">
            <v>E</v>
          </cell>
          <cell r="E419" t="str">
            <v>Home Page</v>
          </cell>
          <cell r="F419" t="str">
            <v>리더스클럽(Homepage)</v>
          </cell>
          <cell r="G419" t="str">
            <v>Web</v>
          </cell>
          <cell r="H419" t="str">
            <v>보라매</v>
          </cell>
          <cell r="I419" t="str">
            <v>LeadersClub WAS Server</v>
          </cell>
        </row>
        <row r="420">
          <cell r="A420" t="str">
            <v>TTLChat</v>
          </cell>
          <cell r="B420" t="str">
            <v>UX-CPU-SUN-00006</v>
          </cell>
          <cell r="C420" t="str">
            <v>Y</v>
          </cell>
          <cell r="D420" t="str">
            <v>E</v>
          </cell>
          <cell r="E420" t="str">
            <v>Home Page</v>
          </cell>
          <cell r="F420" t="str">
            <v>TTL Homepage</v>
          </cell>
          <cell r="G420" t="str">
            <v>Web</v>
          </cell>
          <cell r="H420" t="str">
            <v>보라매</v>
          </cell>
          <cell r="I420" t="str">
            <v>TTL chatting</v>
          </cell>
        </row>
        <row r="421">
          <cell r="A421" t="str">
            <v>TTLWeb1</v>
          </cell>
          <cell r="B421" t="str">
            <v>UX-CPU-SUN-00091</v>
          </cell>
          <cell r="C421" t="str">
            <v>Y</v>
          </cell>
          <cell r="D421" t="str">
            <v>E</v>
          </cell>
          <cell r="E421" t="str">
            <v>Home Page</v>
          </cell>
          <cell r="F421" t="str">
            <v>TTL Homepage</v>
          </cell>
          <cell r="G421" t="str">
            <v>Web</v>
          </cell>
          <cell r="H421" t="str">
            <v>보라매</v>
          </cell>
          <cell r="I421" t="str">
            <v>TTL Web Server (1)</v>
          </cell>
        </row>
        <row r="422">
          <cell r="A422" t="str">
            <v>TTLWeb2</v>
          </cell>
          <cell r="B422" t="str">
            <v>UX-CPU-SUN-00092</v>
          </cell>
          <cell r="C422" t="str">
            <v>Y</v>
          </cell>
          <cell r="D422" t="str">
            <v>E</v>
          </cell>
          <cell r="E422" t="str">
            <v>Home Page</v>
          </cell>
          <cell r="F422" t="str">
            <v>TTL Homepage</v>
          </cell>
          <cell r="G422" t="str">
            <v>Web</v>
          </cell>
          <cell r="H422" t="str">
            <v>보라매</v>
          </cell>
          <cell r="I422" t="str">
            <v>TTL Web Server (2)</v>
          </cell>
        </row>
        <row r="423">
          <cell r="A423" t="str">
            <v>TTLCoDB</v>
          </cell>
          <cell r="B423" t="str">
            <v>UX-CPU-SUN-00093</v>
          </cell>
          <cell r="C423" t="str">
            <v>Y</v>
          </cell>
          <cell r="D423" t="str">
            <v>E</v>
          </cell>
          <cell r="E423" t="str">
            <v>Home Page</v>
          </cell>
          <cell r="F423" t="str">
            <v>TTL Homepage</v>
          </cell>
          <cell r="G423" t="str">
            <v>Web</v>
          </cell>
          <cell r="H423" t="str">
            <v>보라매</v>
          </cell>
          <cell r="I423" t="str">
            <v>TTL Contents DB Server</v>
          </cell>
        </row>
        <row r="424">
          <cell r="A424" t="str">
            <v>TTLCLUBDB</v>
          </cell>
          <cell r="B424" t="str">
            <v>UX-CPU-SUN-00094</v>
          </cell>
          <cell r="C424" t="str">
            <v>Y</v>
          </cell>
          <cell r="D424" t="str">
            <v>E</v>
          </cell>
          <cell r="E424" t="str">
            <v>Home Page</v>
          </cell>
          <cell r="F424" t="str">
            <v>TTL Homepage</v>
          </cell>
          <cell r="G424" t="str">
            <v>Web</v>
          </cell>
          <cell r="H424" t="str">
            <v>보라매</v>
          </cell>
          <cell r="I424" t="str">
            <v>TTL BBS DB Server</v>
          </cell>
        </row>
        <row r="425">
          <cell r="A425" t="str">
            <v>TTLUsDB</v>
          </cell>
          <cell r="B425" t="str">
            <v>UX-CPU-SUN-00095</v>
          </cell>
          <cell r="C425" t="str">
            <v>Y</v>
          </cell>
          <cell r="D425" t="str">
            <v>E</v>
          </cell>
          <cell r="E425" t="str">
            <v>Home Page</v>
          </cell>
          <cell r="F425" t="str">
            <v>TTL Homepage</v>
          </cell>
          <cell r="G425" t="str">
            <v>Web</v>
          </cell>
          <cell r="H425" t="str">
            <v>보라매</v>
          </cell>
          <cell r="I425" t="str">
            <v>TTL User DB Server</v>
          </cell>
        </row>
        <row r="426">
          <cell r="A426" t="str">
            <v>TTLFW</v>
          </cell>
          <cell r="B426" t="str">
            <v>UX-CPU-SUN-00096</v>
          </cell>
          <cell r="C426" t="str">
            <v>Y</v>
          </cell>
          <cell r="D426" t="str">
            <v>E</v>
          </cell>
          <cell r="E426" t="str">
            <v>Home Page</v>
          </cell>
          <cell r="F426" t="str">
            <v>TTL Homepage</v>
          </cell>
          <cell r="G426" t="str">
            <v>Web</v>
          </cell>
          <cell r="H426" t="str">
            <v>보라매</v>
          </cell>
          <cell r="I426" t="str">
            <v>TTL Firewall Server</v>
          </cell>
        </row>
        <row r="427">
          <cell r="A427" t="str">
            <v>TTLBK</v>
          </cell>
          <cell r="B427" t="str">
            <v>UX-CPU-SUN-00097</v>
          </cell>
          <cell r="C427" t="str">
            <v>Y</v>
          </cell>
          <cell r="D427" t="str">
            <v>E</v>
          </cell>
          <cell r="E427" t="str">
            <v>Home Page</v>
          </cell>
          <cell r="F427" t="str">
            <v>TTL Homepage</v>
          </cell>
          <cell r="G427" t="str">
            <v>Web</v>
          </cell>
          <cell r="H427" t="str">
            <v>보라매</v>
          </cell>
          <cell r="I427" t="str">
            <v>TTL Backup Server</v>
          </cell>
        </row>
        <row r="428">
          <cell r="A428" t="str">
            <v>TTLFW2</v>
          </cell>
          <cell r="B428" t="str">
            <v>UX-CPU-SUN-00107</v>
          </cell>
          <cell r="C428" t="str">
            <v>Y</v>
          </cell>
          <cell r="D428" t="str">
            <v>E</v>
          </cell>
          <cell r="E428" t="str">
            <v>Home Page</v>
          </cell>
          <cell r="F428" t="str">
            <v>TTL Homepage</v>
          </cell>
          <cell r="G428" t="str">
            <v>Web</v>
          </cell>
          <cell r="H428" t="str">
            <v>보라매</v>
          </cell>
          <cell r="I428" t="str">
            <v>TTL PlayOn Firewall Server</v>
          </cell>
        </row>
        <row r="429">
          <cell r="A429" t="str">
            <v>TTLClubWAS</v>
          </cell>
          <cell r="B429" t="str">
            <v>UX-CPU-SUN-00110</v>
          </cell>
          <cell r="C429" t="str">
            <v>Y</v>
          </cell>
          <cell r="D429" t="str">
            <v>E</v>
          </cell>
          <cell r="E429" t="str">
            <v>Home Page</v>
          </cell>
          <cell r="F429" t="str">
            <v>TTL Homepage</v>
          </cell>
          <cell r="G429" t="str">
            <v>Web</v>
          </cell>
          <cell r="H429" t="str">
            <v>보라매</v>
          </cell>
          <cell r="I429" t="str">
            <v>TTL Club WAS Server</v>
          </cell>
        </row>
        <row r="430">
          <cell r="A430" t="str">
            <v>TTLDev</v>
          </cell>
          <cell r="B430" t="str">
            <v>UX-CPU-SUN-00150</v>
          </cell>
          <cell r="C430" t="str">
            <v>Y</v>
          </cell>
          <cell r="D430" t="str">
            <v>E</v>
          </cell>
          <cell r="E430" t="str">
            <v>Home Page</v>
          </cell>
          <cell r="F430" t="str">
            <v>TTL Homepage</v>
          </cell>
          <cell r="G430" t="str">
            <v>Web</v>
          </cell>
          <cell r="H430" t="str">
            <v>보라매</v>
          </cell>
          <cell r="I430" t="str">
            <v>TTL PlayOn 개발 장비</v>
          </cell>
        </row>
        <row r="431">
          <cell r="A431" t="str">
            <v>isas1</v>
          </cell>
          <cell r="B431" t="str">
            <v>UX-CPU-HP-00075</v>
          </cell>
          <cell r="C431" t="str">
            <v>Y</v>
          </cell>
          <cell r="D431" t="str">
            <v>E</v>
          </cell>
          <cell r="E431" t="str">
            <v>청구</v>
          </cell>
          <cell r="F431" t="str">
            <v>소액결재</v>
          </cell>
          <cell r="G431" t="str">
            <v>Web</v>
          </cell>
          <cell r="H431" t="str">
            <v>보라매</v>
          </cell>
          <cell r="I431" t="str">
            <v>소액결재시스템</v>
          </cell>
        </row>
        <row r="432">
          <cell r="A432" t="str">
            <v>isas2</v>
          </cell>
          <cell r="B432" t="str">
            <v>UX-CPU-HP-00102</v>
          </cell>
          <cell r="C432" t="str">
            <v>Y</v>
          </cell>
          <cell r="D432" t="str">
            <v>E</v>
          </cell>
          <cell r="E432" t="str">
            <v>청구</v>
          </cell>
          <cell r="F432" t="str">
            <v>소액결재</v>
          </cell>
          <cell r="G432" t="str">
            <v>Web</v>
          </cell>
          <cell r="H432" t="str">
            <v>보라매</v>
          </cell>
          <cell r="I432" t="str">
            <v>SKT Mobile 결제 시스템 DB</v>
          </cell>
        </row>
        <row r="433">
          <cell r="A433" t="str">
            <v>cmdb2</v>
          </cell>
          <cell r="B433" t="str">
            <v>UX-CPU-HP-00023</v>
          </cell>
          <cell r="C433" t="str">
            <v>Y</v>
          </cell>
          <cell r="D433" t="str">
            <v>E</v>
          </cell>
          <cell r="E433" t="str">
            <v>영업 Internet</v>
          </cell>
          <cell r="F433" t="str">
            <v>011e-station</v>
          </cell>
          <cell r="G433" t="str">
            <v>Web</v>
          </cell>
          <cell r="H433" t="str">
            <v>보라매</v>
          </cell>
          <cell r="I433" t="str">
            <v>Cooltown (CYBER-MKT용DB서버)</v>
          </cell>
        </row>
        <row r="434">
          <cell r="A434" t="str">
            <v>cmwas2</v>
          </cell>
          <cell r="B434" t="str">
            <v>UX-CPU-HP-00024</v>
          </cell>
          <cell r="C434" t="str">
            <v>Y</v>
          </cell>
          <cell r="D434" t="str">
            <v>E</v>
          </cell>
          <cell r="E434" t="str">
            <v>영업 Internet</v>
          </cell>
          <cell r="F434" t="str">
            <v>011e-station</v>
          </cell>
          <cell r="G434" t="str">
            <v>Web</v>
          </cell>
          <cell r="H434" t="str">
            <v>보라매</v>
          </cell>
          <cell r="I434" t="str">
            <v>Telepark</v>
          </cell>
        </row>
        <row r="435">
          <cell r="A435" t="str">
            <v>tele1</v>
          </cell>
          <cell r="B435" t="str">
            <v>UX-CPU-HP-00029</v>
          </cell>
          <cell r="C435" t="str">
            <v>Y</v>
          </cell>
          <cell r="D435" t="str">
            <v>E</v>
          </cell>
          <cell r="E435" t="str">
            <v>영업 Internet</v>
          </cell>
          <cell r="F435" t="str">
            <v>011e-station</v>
          </cell>
          <cell r="G435" t="str">
            <v>Web</v>
          </cell>
          <cell r="H435" t="str">
            <v>보라매</v>
          </cell>
          <cell r="I435" t="str">
            <v>Tele-Service01(수도권 통품 서버)</v>
          </cell>
        </row>
        <row r="436">
          <cell r="A436" t="str">
            <v>tele2</v>
          </cell>
          <cell r="B436" t="str">
            <v>UX-CPU-HP-00030</v>
          </cell>
          <cell r="C436" t="str">
            <v>Y</v>
          </cell>
          <cell r="D436" t="str">
            <v>E</v>
          </cell>
          <cell r="E436" t="str">
            <v>영업 Internet</v>
          </cell>
          <cell r="F436" t="str">
            <v>011e-station</v>
          </cell>
          <cell r="G436" t="str">
            <v>Web</v>
          </cell>
          <cell r="H436" t="str">
            <v>보라매</v>
          </cell>
          <cell r="I436" t="str">
            <v>Tele-Service02</v>
          </cell>
        </row>
        <row r="437">
          <cell r="A437" t="str">
            <v>crms</v>
          </cell>
          <cell r="B437" t="str">
            <v>UX-CPU-HP-00069</v>
          </cell>
          <cell r="C437" t="str">
            <v>Y</v>
          </cell>
          <cell r="D437" t="str">
            <v>E</v>
          </cell>
          <cell r="E437" t="str">
            <v>영업 Internet</v>
          </cell>
          <cell r="F437" t="str">
            <v>011e-station</v>
          </cell>
          <cell r="G437" t="str">
            <v>Web</v>
          </cell>
          <cell r="H437" t="str">
            <v>보라매</v>
          </cell>
          <cell r="I437" t="str">
            <v>TTL membership 관리</v>
          </cell>
        </row>
        <row r="438">
          <cell r="A438" t="str">
            <v>cmwas5</v>
          </cell>
          <cell r="B438" t="str">
            <v>UX-CPU-HP-00070</v>
          </cell>
          <cell r="C438" t="str">
            <v>Y</v>
          </cell>
          <cell r="D438" t="str">
            <v>E</v>
          </cell>
          <cell r="E438" t="str">
            <v>영업 Internet</v>
          </cell>
          <cell r="F438" t="str">
            <v>011e-station</v>
          </cell>
          <cell r="G438" t="str">
            <v>Web</v>
          </cell>
          <cell r="H438" t="str">
            <v>보라매</v>
          </cell>
          <cell r="I438" t="str">
            <v>Cyber Web Server</v>
          </cell>
        </row>
        <row r="439">
          <cell r="A439" t="str">
            <v>cmwas4</v>
          </cell>
          <cell r="B439" t="str">
            <v>UX-CPU-HP-00071</v>
          </cell>
          <cell r="C439" t="str">
            <v>Y</v>
          </cell>
          <cell r="D439" t="str">
            <v>E</v>
          </cell>
          <cell r="E439" t="str">
            <v>영업 Internet</v>
          </cell>
          <cell r="F439" t="str">
            <v>011e-station</v>
          </cell>
          <cell r="G439" t="str">
            <v>Web</v>
          </cell>
          <cell r="H439" t="str">
            <v>보라매</v>
          </cell>
          <cell r="I439" t="str">
            <v>Cyber WAS</v>
          </cell>
        </row>
        <row r="440">
          <cell r="A440" t="str">
            <v>cmwas3</v>
          </cell>
          <cell r="B440" t="str">
            <v>UX-CPU-HP-00079</v>
          </cell>
          <cell r="C440" t="str">
            <v>Y</v>
          </cell>
          <cell r="D440" t="str">
            <v>E</v>
          </cell>
          <cell r="E440" t="str">
            <v>영업 Internet</v>
          </cell>
          <cell r="F440" t="str">
            <v>011e-station</v>
          </cell>
          <cell r="G440" t="str">
            <v>Web</v>
          </cell>
          <cell r="H440" t="str">
            <v>보라매</v>
          </cell>
          <cell r="I440" t="str">
            <v>Cyber Web Server</v>
          </cell>
        </row>
        <row r="441">
          <cell r="A441" t="str">
            <v>pg</v>
          </cell>
          <cell r="B441" t="str">
            <v>UX-CPU-HP-00082</v>
          </cell>
          <cell r="C441" t="str">
            <v>Y</v>
          </cell>
          <cell r="D441" t="str">
            <v>E</v>
          </cell>
          <cell r="E441" t="str">
            <v>영업 Internet</v>
          </cell>
          <cell r="F441" t="str">
            <v>011e-station</v>
          </cell>
          <cell r="G441" t="str">
            <v>Web</v>
          </cell>
          <cell r="H441" t="str">
            <v>보라매</v>
          </cell>
          <cell r="I441" t="str">
            <v>Payment Gateway (EBPP)</v>
          </cell>
        </row>
        <row r="442">
          <cell r="A442" t="str">
            <v>CMDB1</v>
          </cell>
          <cell r="B442" t="str">
            <v>UX-CPU-HP-00118</v>
          </cell>
          <cell r="C442" t="str">
            <v>Y</v>
          </cell>
          <cell r="D442" t="str">
            <v>E</v>
          </cell>
          <cell r="E442" t="str">
            <v>영업 Internet</v>
          </cell>
          <cell r="F442" t="str">
            <v>011e-station</v>
          </cell>
          <cell r="G442" t="str">
            <v>Web</v>
          </cell>
          <cell r="H442" t="str">
            <v>보라매</v>
          </cell>
          <cell r="I442" t="str">
            <v>e-station</v>
          </cell>
        </row>
        <row r="443">
          <cell r="A443" t="str">
            <v>cmwas1</v>
          </cell>
          <cell r="B443" t="str">
            <v>UX-CPU-HP-00119</v>
          </cell>
          <cell r="C443" t="str">
            <v>Y</v>
          </cell>
          <cell r="D443" t="str">
            <v>E</v>
          </cell>
          <cell r="E443" t="str">
            <v>영업 Internet</v>
          </cell>
          <cell r="F443" t="str">
            <v>011e-station</v>
          </cell>
          <cell r="G443" t="str">
            <v>Web</v>
          </cell>
          <cell r="H443" t="str">
            <v>보라매</v>
          </cell>
          <cell r="I443" t="str">
            <v>e-station</v>
          </cell>
        </row>
        <row r="444">
          <cell r="A444" t="str">
            <v>cmsms1</v>
          </cell>
          <cell r="B444" t="str">
            <v>UX-CPU-SUN-00048</v>
          </cell>
          <cell r="C444" t="str">
            <v>Y</v>
          </cell>
          <cell r="D444" t="str">
            <v>E</v>
          </cell>
          <cell r="E444" t="str">
            <v>영업 Internet</v>
          </cell>
          <cell r="F444" t="str">
            <v>011e-station</v>
          </cell>
          <cell r="G444" t="str">
            <v>Web</v>
          </cell>
          <cell r="H444" t="str">
            <v>보라매</v>
          </cell>
          <cell r="I444" t="str">
            <v>CYBER (인터넷 Paging G/W)</v>
          </cell>
        </row>
        <row r="445">
          <cell r="A445" t="str">
            <v>CMcache1</v>
          </cell>
          <cell r="B445" t="str">
            <v>UX-CPU-SUN-00116</v>
          </cell>
          <cell r="C445" t="str">
            <v>Y</v>
          </cell>
          <cell r="D445" t="str">
            <v>E</v>
          </cell>
          <cell r="E445" t="str">
            <v>영업 Internet</v>
          </cell>
          <cell r="F445" t="str">
            <v>011e-station</v>
          </cell>
          <cell r="G445" t="str">
            <v>Web</v>
          </cell>
          <cell r="H445" t="str">
            <v>보라매</v>
          </cell>
          <cell r="I445" t="str">
            <v>011e-station</v>
          </cell>
        </row>
        <row r="446">
          <cell r="A446" t="str">
            <v>CMcache2</v>
          </cell>
          <cell r="B446" t="str">
            <v>UX-CPU-SUN-00117</v>
          </cell>
          <cell r="C446" t="str">
            <v>Y</v>
          </cell>
          <cell r="D446" t="str">
            <v>E</v>
          </cell>
          <cell r="E446" t="str">
            <v>영업 Internet</v>
          </cell>
          <cell r="F446" t="str">
            <v>011e-station</v>
          </cell>
          <cell r="G446" t="str">
            <v>Web</v>
          </cell>
          <cell r="H446" t="str">
            <v>보라매</v>
          </cell>
          <cell r="I446" t="str">
            <v>011e-station</v>
          </cell>
        </row>
        <row r="447">
          <cell r="A447" t="str">
            <v>CMcache3</v>
          </cell>
          <cell r="B447" t="str">
            <v>UX-CPU-SUN-00118</v>
          </cell>
          <cell r="C447" t="str">
            <v>Y</v>
          </cell>
          <cell r="D447" t="str">
            <v>E</v>
          </cell>
          <cell r="E447" t="str">
            <v>영업 Internet</v>
          </cell>
          <cell r="F447" t="str">
            <v>011e-station</v>
          </cell>
          <cell r="G447" t="str">
            <v>Web</v>
          </cell>
          <cell r="H447" t="str">
            <v>보라매</v>
          </cell>
          <cell r="I447" t="str">
            <v>011e-station</v>
          </cell>
        </row>
        <row r="448">
          <cell r="A448" t="str">
            <v>CMcache4</v>
          </cell>
          <cell r="B448" t="str">
            <v>UX-CPU-SUN-00119</v>
          </cell>
          <cell r="C448" t="str">
            <v>Y</v>
          </cell>
          <cell r="D448" t="str">
            <v>E</v>
          </cell>
          <cell r="E448" t="str">
            <v>영업 Internet</v>
          </cell>
          <cell r="F448" t="str">
            <v>011e-station</v>
          </cell>
          <cell r="G448" t="str">
            <v>Web</v>
          </cell>
          <cell r="H448" t="str">
            <v>보라매</v>
          </cell>
          <cell r="I448" t="str">
            <v>011e-station</v>
          </cell>
        </row>
        <row r="449">
          <cell r="A449" t="str">
            <v>CMcache5</v>
          </cell>
          <cell r="B449" t="str">
            <v>UX-CPU-SUN-00120</v>
          </cell>
          <cell r="C449" t="str">
            <v>Y</v>
          </cell>
          <cell r="D449" t="str">
            <v>E</v>
          </cell>
          <cell r="E449" t="str">
            <v>영업 Internet</v>
          </cell>
          <cell r="F449" t="str">
            <v>011e-station</v>
          </cell>
          <cell r="G449" t="str">
            <v>Web</v>
          </cell>
          <cell r="H449" t="str">
            <v>보라매</v>
          </cell>
          <cell r="I449" t="str">
            <v>011e-station</v>
          </cell>
        </row>
        <row r="450">
          <cell r="A450" t="str">
            <v>CMweb1</v>
          </cell>
          <cell r="B450" t="str">
            <v>UX-CPU-SUN-00121</v>
          </cell>
          <cell r="C450" t="str">
            <v>Y</v>
          </cell>
          <cell r="D450" t="str">
            <v>E</v>
          </cell>
          <cell r="E450" t="str">
            <v>영업 Internet</v>
          </cell>
          <cell r="F450" t="str">
            <v>011e-station</v>
          </cell>
          <cell r="G450" t="str">
            <v>Web</v>
          </cell>
          <cell r="H450" t="str">
            <v>보라매</v>
          </cell>
          <cell r="I450" t="str">
            <v>011e-station</v>
          </cell>
        </row>
        <row r="451">
          <cell r="A451" t="str">
            <v>CMweb2</v>
          </cell>
          <cell r="B451" t="str">
            <v>UX-CPU-SUN-00122</v>
          </cell>
          <cell r="C451" t="str">
            <v>Y</v>
          </cell>
          <cell r="D451" t="str">
            <v>E</v>
          </cell>
          <cell r="E451" t="str">
            <v>영업 Internet</v>
          </cell>
          <cell r="F451" t="str">
            <v>011e-station</v>
          </cell>
          <cell r="G451" t="str">
            <v>Web</v>
          </cell>
          <cell r="H451" t="str">
            <v>보라매</v>
          </cell>
          <cell r="I451" t="str">
            <v>011e-station</v>
          </cell>
        </row>
        <row r="452">
          <cell r="A452" t="str">
            <v>CMweb3</v>
          </cell>
          <cell r="B452" t="str">
            <v>UX-CPU-SUN-00123</v>
          </cell>
          <cell r="C452" t="str">
            <v>Y</v>
          </cell>
          <cell r="D452" t="str">
            <v>E</v>
          </cell>
          <cell r="E452" t="str">
            <v>영업 Internet</v>
          </cell>
          <cell r="F452" t="str">
            <v>011e-station</v>
          </cell>
          <cell r="G452" t="str">
            <v>Web</v>
          </cell>
          <cell r="H452" t="str">
            <v>보라매</v>
          </cell>
          <cell r="I452" t="str">
            <v>011e-station</v>
          </cell>
        </row>
        <row r="453">
          <cell r="A453" t="str">
            <v>CMweb4</v>
          </cell>
          <cell r="B453" t="str">
            <v>UX-CPU-SUN-00124</v>
          </cell>
          <cell r="C453" t="str">
            <v>Y</v>
          </cell>
          <cell r="D453" t="str">
            <v>E</v>
          </cell>
          <cell r="E453" t="str">
            <v>영업 Internet</v>
          </cell>
          <cell r="F453" t="str">
            <v>011e-station</v>
          </cell>
          <cell r="G453" t="str">
            <v>Web</v>
          </cell>
          <cell r="H453" t="str">
            <v>보라매</v>
          </cell>
          <cell r="I453" t="str">
            <v>011e-station</v>
          </cell>
        </row>
        <row r="454">
          <cell r="A454" t="str">
            <v>CMweb5</v>
          </cell>
          <cell r="B454" t="str">
            <v>UX-CPU-SUN-00125</v>
          </cell>
          <cell r="C454" t="str">
            <v>Y</v>
          </cell>
          <cell r="D454" t="str">
            <v>E</v>
          </cell>
          <cell r="E454" t="str">
            <v>영업 Internet</v>
          </cell>
          <cell r="F454" t="str">
            <v>011e-station</v>
          </cell>
          <cell r="G454" t="str">
            <v>Web</v>
          </cell>
          <cell r="H454" t="str">
            <v>보라매</v>
          </cell>
          <cell r="I454" t="str">
            <v>011e-station</v>
          </cell>
        </row>
        <row r="455">
          <cell r="A455" t="str">
            <v>CMweb6</v>
          </cell>
          <cell r="B455" t="str">
            <v>UX-CPU-SUN-00126</v>
          </cell>
          <cell r="C455" t="str">
            <v>Y</v>
          </cell>
          <cell r="D455" t="str">
            <v>E</v>
          </cell>
          <cell r="E455" t="str">
            <v>영업 Internet</v>
          </cell>
          <cell r="F455" t="str">
            <v>011e-station</v>
          </cell>
          <cell r="G455" t="str">
            <v>Web</v>
          </cell>
          <cell r="H455" t="str">
            <v>보라매</v>
          </cell>
          <cell r="I455" t="str">
            <v>011e-station</v>
          </cell>
        </row>
        <row r="456">
          <cell r="A456" t="str">
            <v>Cmcsweb</v>
          </cell>
          <cell r="B456" t="str">
            <v>UX-CPU-SUN-00127</v>
          </cell>
          <cell r="C456" t="str">
            <v>Y</v>
          </cell>
          <cell r="D456" t="str">
            <v>E</v>
          </cell>
          <cell r="E456" t="str">
            <v>영업 Internet</v>
          </cell>
          <cell r="F456" t="str">
            <v>011e-station</v>
          </cell>
          <cell r="G456" t="str">
            <v>Web</v>
          </cell>
          <cell r="H456" t="str">
            <v>보라매</v>
          </cell>
          <cell r="I456" t="str">
            <v>Cyber 상담</v>
          </cell>
        </row>
        <row r="457">
          <cell r="A457" t="str">
            <v>WASTest</v>
          </cell>
          <cell r="B457" t="str">
            <v>UX-CPU-SUN-00128</v>
          </cell>
          <cell r="C457" t="str">
            <v>Y</v>
          </cell>
          <cell r="D457" t="str">
            <v>E</v>
          </cell>
          <cell r="E457" t="str">
            <v>영업 Internet</v>
          </cell>
          <cell r="F457" t="str">
            <v>011e-station</v>
          </cell>
          <cell r="G457" t="str">
            <v>Web</v>
          </cell>
          <cell r="H457" t="str">
            <v>보라매</v>
          </cell>
          <cell r="I457" t="str">
            <v>011e-Station SMS Server</v>
          </cell>
        </row>
        <row r="458">
          <cell r="A458" t="str">
            <v>DCMS</v>
          </cell>
          <cell r="B458" t="str">
            <v>UX-CPU-SUN-00137</v>
          </cell>
          <cell r="C458" t="str">
            <v>Y</v>
          </cell>
          <cell r="D458" t="str">
            <v>E</v>
          </cell>
          <cell r="E458" t="str">
            <v>영업 Internet</v>
          </cell>
          <cell r="F458" t="str">
            <v>011e-station</v>
          </cell>
          <cell r="G458" t="str">
            <v>Web</v>
          </cell>
          <cell r="H458" t="str">
            <v>보라매</v>
          </cell>
          <cell r="I458" t="str">
            <v>유통망 종합 관리 시스템</v>
          </cell>
        </row>
        <row r="459">
          <cell r="A459" t="str">
            <v>CMcache6</v>
          </cell>
          <cell r="B459" t="str">
            <v>UX-CPU-SUN-00151</v>
          </cell>
          <cell r="C459" t="str">
            <v>Y</v>
          </cell>
          <cell r="D459" t="str">
            <v>E</v>
          </cell>
          <cell r="E459" t="str">
            <v>영업 Internet</v>
          </cell>
          <cell r="F459" t="str">
            <v>011e-station</v>
          </cell>
          <cell r="G459" t="str">
            <v>Web</v>
          </cell>
          <cell r="H459" t="str">
            <v>보라매</v>
          </cell>
          <cell r="I459" t="str">
            <v>011e-station</v>
          </cell>
        </row>
        <row r="460">
          <cell r="A460" t="str">
            <v>CMcache7</v>
          </cell>
          <cell r="B460" t="str">
            <v>UX-CPU-SUN-00152</v>
          </cell>
          <cell r="C460" t="str">
            <v>Y</v>
          </cell>
          <cell r="D460" t="str">
            <v>E</v>
          </cell>
          <cell r="E460" t="str">
            <v>영업 Internet</v>
          </cell>
          <cell r="F460" t="str">
            <v>011e-station</v>
          </cell>
          <cell r="G460" t="str">
            <v>Web</v>
          </cell>
          <cell r="H460" t="str">
            <v>보라매</v>
          </cell>
          <cell r="I460" t="str">
            <v>011e-station</v>
          </cell>
        </row>
        <row r="461">
          <cell r="A461" t="str">
            <v>pointbox</v>
          </cell>
          <cell r="B461" t="str">
            <v>UX-CPU-HP-00121</v>
          </cell>
          <cell r="C461" t="str">
            <v>Y</v>
          </cell>
          <cell r="D461" t="str">
            <v>E</v>
          </cell>
          <cell r="E461" t="str">
            <v>영업 Internet</v>
          </cell>
          <cell r="F461" t="str">
            <v>통합 마일리지</v>
          </cell>
          <cell r="G461" t="str">
            <v>Web</v>
          </cell>
          <cell r="H461" t="str">
            <v>보라매</v>
          </cell>
          <cell r="I461" t="str">
            <v>PointBox DB Server</v>
          </cell>
        </row>
        <row r="462">
          <cell r="A462" t="str">
            <v>pointwas1</v>
          </cell>
          <cell r="B462" t="str">
            <v>UX-CPU-SUN-00113</v>
          </cell>
          <cell r="C462" t="str">
            <v>Y</v>
          </cell>
          <cell r="D462" t="str">
            <v>E</v>
          </cell>
          <cell r="E462" t="str">
            <v>영업 Internet</v>
          </cell>
          <cell r="F462" t="str">
            <v>통합 마일리지</v>
          </cell>
          <cell r="G462" t="str">
            <v>Web</v>
          </cell>
          <cell r="H462" t="str">
            <v>보라매</v>
          </cell>
          <cell r="I462" t="str">
            <v>통합마일리지 WAS1</v>
          </cell>
        </row>
        <row r="463">
          <cell r="A463" t="str">
            <v>pointwas2</v>
          </cell>
          <cell r="B463" t="str">
            <v>UX-CPU-SUN-00114</v>
          </cell>
          <cell r="C463" t="str">
            <v>Y</v>
          </cell>
          <cell r="D463" t="str">
            <v>E</v>
          </cell>
          <cell r="E463" t="str">
            <v>영업 Internet</v>
          </cell>
          <cell r="F463" t="str">
            <v>통합 마일리지</v>
          </cell>
          <cell r="G463" t="str">
            <v>Web</v>
          </cell>
          <cell r="H463" t="str">
            <v>보라매</v>
          </cell>
          <cell r="I463" t="str">
            <v>통합마일리지 WAS2</v>
          </cell>
        </row>
        <row r="464">
          <cell r="A464" t="str">
            <v>COIS-LDAP5</v>
          </cell>
          <cell r="B464" t="str">
            <v>NT-Server-CPU-Compaq-08010</v>
          </cell>
          <cell r="C464" t="str">
            <v>Y</v>
          </cell>
          <cell r="D464" t="str">
            <v>E</v>
          </cell>
          <cell r="E464" t="str">
            <v>영업 Internet</v>
          </cell>
          <cell r="F464" t="str">
            <v>통합인증시스템</v>
          </cell>
          <cell r="G464" t="str">
            <v>Web</v>
          </cell>
          <cell r="H464" t="str">
            <v>보라매</v>
          </cell>
          <cell r="I464" t="str">
            <v>Cyber마케팅 서버(DB)</v>
          </cell>
        </row>
        <row r="465">
          <cell r="A465" t="str">
            <v>SKT-AD04</v>
          </cell>
          <cell r="B465" t="str">
            <v>NT-Server-CPU-Compaq-08017</v>
          </cell>
          <cell r="C465" t="str">
            <v>Y</v>
          </cell>
          <cell r="D465" t="str">
            <v>E</v>
          </cell>
          <cell r="E465" t="str">
            <v>영업 Internet</v>
          </cell>
          <cell r="F465" t="str">
            <v>통합인증시스템</v>
          </cell>
          <cell r="G465" t="str">
            <v>Web</v>
          </cell>
          <cell r="H465" t="str">
            <v>보라매</v>
          </cell>
          <cell r="I465" t="str">
            <v>통합인증시스템</v>
          </cell>
        </row>
        <row r="466">
          <cell r="A466" t="str">
            <v>SKT-AD05</v>
          </cell>
          <cell r="B466" t="str">
            <v>NT-Server-CPU-Compaq-08018</v>
          </cell>
          <cell r="C466" t="str">
            <v>Y</v>
          </cell>
          <cell r="D466" t="str">
            <v>E</v>
          </cell>
          <cell r="E466" t="str">
            <v>영업 Internet</v>
          </cell>
          <cell r="F466" t="str">
            <v>통합인증시스템</v>
          </cell>
          <cell r="G466" t="str">
            <v>Web</v>
          </cell>
          <cell r="H466" t="str">
            <v>보라매</v>
          </cell>
          <cell r="I466" t="str">
            <v>통합인증시스템</v>
          </cell>
        </row>
        <row r="467">
          <cell r="A467" t="str">
            <v>SKT-AD01</v>
          </cell>
          <cell r="B467" t="str">
            <v>NT-Server-CPU-Compaq-08019</v>
          </cell>
          <cell r="C467" t="str">
            <v>Y</v>
          </cell>
          <cell r="D467" t="str">
            <v>E</v>
          </cell>
          <cell r="E467" t="str">
            <v>영업 Internet</v>
          </cell>
          <cell r="F467" t="str">
            <v>통합인증시스템</v>
          </cell>
          <cell r="G467" t="str">
            <v>Web</v>
          </cell>
          <cell r="H467" t="str">
            <v>보라매</v>
          </cell>
          <cell r="I467" t="str">
            <v>통합인증시스템</v>
          </cell>
        </row>
        <row r="468">
          <cell r="A468" t="str">
            <v>SKT-AD02</v>
          </cell>
          <cell r="B468" t="str">
            <v>NT-Server-CPU-Compaq-08020</v>
          </cell>
          <cell r="C468" t="str">
            <v>Y</v>
          </cell>
          <cell r="D468" t="str">
            <v>E</v>
          </cell>
          <cell r="E468" t="str">
            <v>영업 Internet</v>
          </cell>
          <cell r="F468" t="str">
            <v>통합인증시스템</v>
          </cell>
          <cell r="G468" t="str">
            <v>Web</v>
          </cell>
          <cell r="H468" t="str">
            <v>보라매</v>
          </cell>
          <cell r="I468" t="str">
            <v>통합인증시스템</v>
          </cell>
        </row>
        <row r="469">
          <cell r="A469" t="str">
            <v>SKT_SA01</v>
          </cell>
          <cell r="B469" t="str">
            <v>NT-Server-CPU-Compaq-08021</v>
          </cell>
          <cell r="C469" t="str">
            <v>Y</v>
          </cell>
          <cell r="D469" t="str">
            <v>E</v>
          </cell>
          <cell r="E469" t="str">
            <v>영업 Internet</v>
          </cell>
          <cell r="F469" t="str">
            <v>통합인증시스템</v>
          </cell>
          <cell r="G469" t="str">
            <v>Web</v>
          </cell>
          <cell r="H469" t="str">
            <v>보라매</v>
          </cell>
          <cell r="I469" t="str">
            <v>통합인증시스템</v>
          </cell>
        </row>
        <row r="470">
          <cell r="A470" t="str">
            <v>SKT-AD03</v>
          </cell>
          <cell r="B470" t="str">
            <v>NT-Server-CPU-Compaq-08022</v>
          </cell>
          <cell r="C470" t="str">
            <v>Y</v>
          </cell>
          <cell r="D470" t="str">
            <v>E</v>
          </cell>
          <cell r="E470" t="str">
            <v>영업 Internet</v>
          </cell>
          <cell r="F470" t="str">
            <v>통합인증시스템</v>
          </cell>
          <cell r="G470" t="str">
            <v>Web</v>
          </cell>
          <cell r="H470" t="str">
            <v>보라매</v>
          </cell>
          <cell r="I470" t="str">
            <v>통합인증시스템</v>
          </cell>
        </row>
        <row r="471">
          <cell r="A471" t="str">
            <v>SKT_WEB04</v>
          </cell>
          <cell r="B471" t="str">
            <v>NT-Server-CPU-Compaq-08023</v>
          </cell>
          <cell r="C471" t="str">
            <v>Y</v>
          </cell>
          <cell r="D471" t="str">
            <v>E</v>
          </cell>
          <cell r="E471" t="str">
            <v>영업 Internet</v>
          </cell>
          <cell r="F471" t="str">
            <v>통합인증시스템</v>
          </cell>
          <cell r="G471" t="str">
            <v>Web</v>
          </cell>
          <cell r="H471" t="str">
            <v>보라매</v>
          </cell>
          <cell r="I471" t="str">
            <v>통합인증시스템</v>
          </cell>
        </row>
        <row r="472">
          <cell r="A472" t="str">
            <v>SKT_MQ02</v>
          </cell>
          <cell r="B472" t="str">
            <v>NT-Server-CPU-Compaq-08024</v>
          </cell>
          <cell r="C472" t="str">
            <v>Y</v>
          </cell>
          <cell r="D472" t="str">
            <v>E</v>
          </cell>
          <cell r="E472" t="str">
            <v>영업 Internet</v>
          </cell>
          <cell r="F472" t="str">
            <v>통합인증시스템</v>
          </cell>
          <cell r="G472" t="str">
            <v>Web</v>
          </cell>
          <cell r="H472" t="str">
            <v>보라매</v>
          </cell>
          <cell r="I472" t="str">
            <v>통합인증시스템</v>
          </cell>
        </row>
        <row r="473">
          <cell r="A473" t="str">
            <v>SKT_MQ01</v>
          </cell>
          <cell r="B473" t="str">
            <v>NT-Server-CPU-Compaq-08025</v>
          </cell>
          <cell r="C473" t="str">
            <v>Y</v>
          </cell>
          <cell r="D473" t="str">
            <v>E</v>
          </cell>
          <cell r="E473" t="str">
            <v>영업 Internet</v>
          </cell>
          <cell r="F473" t="str">
            <v>통합인증시스템</v>
          </cell>
          <cell r="G473" t="str">
            <v>Web</v>
          </cell>
          <cell r="H473" t="str">
            <v>보라매</v>
          </cell>
          <cell r="I473" t="str">
            <v>통합인증시스템</v>
          </cell>
        </row>
        <row r="474">
          <cell r="A474" t="str">
            <v>SKT_WEB03</v>
          </cell>
          <cell r="B474" t="str">
            <v>NT-Server-CPU-Compaq-08026</v>
          </cell>
          <cell r="C474" t="str">
            <v>Y</v>
          </cell>
          <cell r="D474" t="str">
            <v>E</v>
          </cell>
          <cell r="E474" t="str">
            <v>영업 Internet</v>
          </cell>
          <cell r="F474" t="str">
            <v>통합인증시스템</v>
          </cell>
          <cell r="G474" t="str">
            <v>Web</v>
          </cell>
          <cell r="H474" t="str">
            <v>보라매</v>
          </cell>
          <cell r="I474" t="str">
            <v>통합인증시스템</v>
          </cell>
        </row>
        <row r="475">
          <cell r="A475" t="str">
            <v>SKT_WEB02</v>
          </cell>
          <cell r="B475" t="str">
            <v>NT-Server-CPU-Compaq-08027</v>
          </cell>
          <cell r="C475" t="str">
            <v>Y</v>
          </cell>
          <cell r="D475" t="str">
            <v>E</v>
          </cell>
          <cell r="E475" t="str">
            <v>영업 Internet</v>
          </cell>
          <cell r="F475" t="str">
            <v>통합인증시스템</v>
          </cell>
          <cell r="G475" t="str">
            <v>Web</v>
          </cell>
          <cell r="H475" t="str">
            <v>보라매</v>
          </cell>
          <cell r="I475" t="str">
            <v>통합인증시스템</v>
          </cell>
        </row>
        <row r="476">
          <cell r="A476" t="str">
            <v>SKT_WEB01</v>
          </cell>
          <cell r="B476" t="str">
            <v>NT-Server-CPU-Compaq-08028</v>
          </cell>
          <cell r="C476" t="str">
            <v>Y</v>
          </cell>
          <cell r="D476" t="str">
            <v>E</v>
          </cell>
          <cell r="E476" t="str">
            <v>영업 Internet</v>
          </cell>
          <cell r="F476" t="str">
            <v>통합인증시스템</v>
          </cell>
          <cell r="G476" t="str">
            <v>Web</v>
          </cell>
          <cell r="H476" t="str">
            <v>보라매</v>
          </cell>
          <cell r="I476" t="str">
            <v>통합인증시스템</v>
          </cell>
        </row>
        <row r="477">
          <cell r="A477" t="str">
            <v>COIS-LSVC1</v>
          </cell>
          <cell r="B477" t="str">
            <v>NT-Server-CPU-Compaq-08113</v>
          </cell>
          <cell r="C477" t="str">
            <v>Y</v>
          </cell>
          <cell r="D477" t="str">
            <v>E</v>
          </cell>
          <cell r="E477" t="str">
            <v>영업 Internet</v>
          </cell>
          <cell r="F477" t="str">
            <v>통합인증시스템</v>
          </cell>
          <cell r="G477" t="str">
            <v>Web</v>
          </cell>
          <cell r="H477" t="str">
            <v>보라매</v>
          </cell>
          <cell r="I477" t="str">
            <v>Cyber마케팅 서버(인증)</v>
          </cell>
        </row>
        <row r="478">
          <cell r="A478" t="str">
            <v>COIS-LSVC2</v>
          </cell>
          <cell r="B478" t="str">
            <v>NT-Server-CPU-Compaq-08114</v>
          </cell>
          <cell r="C478" t="str">
            <v>Y</v>
          </cell>
          <cell r="D478" t="str">
            <v>E</v>
          </cell>
          <cell r="E478" t="str">
            <v>영업 Internet</v>
          </cell>
          <cell r="F478" t="str">
            <v>통합인증시스템</v>
          </cell>
          <cell r="G478" t="str">
            <v>Web</v>
          </cell>
          <cell r="H478" t="str">
            <v>보라매</v>
          </cell>
          <cell r="I478" t="str">
            <v>Cyber마케팅 서버(인증)</v>
          </cell>
        </row>
        <row r="479">
          <cell r="A479" t="str">
            <v>COIS-SSA1</v>
          </cell>
          <cell r="B479" t="str">
            <v>NT-Server-CPU-Compaq-08115</v>
          </cell>
          <cell r="C479" t="str">
            <v>Y</v>
          </cell>
          <cell r="D479" t="str">
            <v>E</v>
          </cell>
          <cell r="E479" t="str">
            <v>영업 Internet</v>
          </cell>
          <cell r="F479" t="str">
            <v>통합인증시스템</v>
          </cell>
          <cell r="G479" t="str">
            <v>Web</v>
          </cell>
          <cell r="H479" t="str">
            <v>보라매</v>
          </cell>
          <cell r="I479" t="str">
            <v>Cyber마케팅 서버(통계)</v>
          </cell>
        </row>
        <row r="480">
          <cell r="A480" t="str">
            <v>COIS-SQL2</v>
          </cell>
          <cell r="B480" t="str">
            <v>NT-Server-CPU-Compaq-08116</v>
          </cell>
          <cell r="C480" t="str">
            <v>Y</v>
          </cell>
          <cell r="D480" t="str">
            <v>E</v>
          </cell>
          <cell r="E480" t="str">
            <v>영업 Internet</v>
          </cell>
          <cell r="F480" t="str">
            <v>통합인증시스템</v>
          </cell>
          <cell r="G480" t="str">
            <v>Web</v>
          </cell>
          <cell r="H480" t="str">
            <v>보라매</v>
          </cell>
          <cell r="I480" t="str">
            <v>Cyber마케팅 DB서버(DB)</v>
          </cell>
        </row>
        <row r="481">
          <cell r="A481" t="str">
            <v>SKT-Usage</v>
          </cell>
          <cell r="B481" t="str">
            <v>NT-Server-CPU-Compaq-08117</v>
          </cell>
          <cell r="C481" t="str">
            <v>Y</v>
          </cell>
          <cell r="D481" t="str">
            <v>E</v>
          </cell>
          <cell r="E481" t="str">
            <v>영업 Internet</v>
          </cell>
          <cell r="F481" t="str">
            <v>통합인증시스템</v>
          </cell>
          <cell r="G481" t="str">
            <v>Web</v>
          </cell>
          <cell r="H481" t="str">
            <v>보라매</v>
          </cell>
          <cell r="I481" t="str">
            <v>Cyber마케팅 서버(DB)</v>
          </cell>
        </row>
        <row r="482">
          <cell r="A482" t="str">
            <v>COIS-HMI2</v>
          </cell>
          <cell r="B482" t="str">
            <v>NT-Server-CPU-Compaq-08118</v>
          </cell>
          <cell r="C482" t="str">
            <v>Y</v>
          </cell>
          <cell r="D482" t="str">
            <v>E</v>
          </cell>
          <cell r="E482" t="str">
            <v>영업 Internet</v>
          </cell>
          <cell r="F482" t="str">
            <v>통합인증시스템</v>
          </cell>
          <cell r="G482" t="str">
            <v>Web</v>
          </cell>
          <cell r="H482" t="str">
            <v>보라매</v>
          </cell>
          <cell r="I482" t="str">
            <v>Cyber마케팅 서버(인증,메일)</v>
          </cell>
        </row>
        <row r="483">
          <cell r="A483" t="str">
            <v>COIS-HMI1</v>
          </cell>
          <cell r="B483" t="str">
            <v>NT-Server-CPU-Compaq-08119</v>
          </cell>
          <cell r="C483" t="str">
            <v>Y</v>
          </cell>
          <cell r="D483" t="str">
            <v>E</v>
          </cell>
          <cell r="E483" t="str">
            <v>영업 Internet</v>
          </cell>
          <cell r="F483" t="str">
            <v>통합인증시스템</v>
          </cell>
          <cell r="G483" t="str">
            <v>Web</v>
          </cell>
          <cell r="H483" t="str">
            <v>보라매</v>
          </cell>
          <cell r="I483" t="str">
            <v>Cyber마케팅 서버(인증,메일)</v>
          </cell>
        </row>
        <row r="484">
          <cell r="A484" t="str">
            <v>COIS-LDAP3</v>
          </cell>
          <cell r="B484" t="str">
            <v>NT-Server-CPU-Compaq-08153</v>
          </cell>
          <cell r="C484" t="str">
            <v>Y</v>
          </cell>
          <cell r="D484" t="str">
            <v>E</v>
          </cell>
          <cell r="E484" t="str">
            <v>영업 Internet</v>
          </cell>
          <cell r="F484" t="str">
            <v>통합인증시스템</v>
          </cell>
          <cell r="G484" t="str">
            <v>Web</v>
          </cell>
          <cell r="H484" t="str">
            <v>보라매</v>
          </cell>
          <cell r="I484" t="str">
            <v>Cyber마케팅 DB서버(DB)</v>
          </cell>
        </row>
        <row r="485">
          <cell r="A485" t="str">
            <v>COIS-LDAP4</v>
          </cell>
          <cell r="B485" t="str">
            <v>NT-Server-CPU-Compaq-08154</v>
          </cell>
          <cell r="C485" t="str">
            <v>Y</v>
          </cell>
          <cell r="D485" t="str">
            <v>E</v>
          </cell>
          <cell r="E485" t="str">
            <v>영업 Internet</v>
          </cell>
          <cell r="F485" t="str">
            <v>통합인증시스템</v>
          </cell>
          <cell r="G485" t="str">
            <v>Web</v>
          </cell>
          <cell r="H485" t="str">
            <v>보라매</v>
          </cell>
          <cell r="I485" t="str">
            <v>Cyber마케팅 서버(DB)</v>
          </cell>
        </row>
        <row r="486">
          <cell r="C486" t="str">
            <v>합계</v>
          </cell>
        </row>
        <row r="487">
          <cell r="A487" t="str">
            <v>CDS1</v>
          </cell>
          <cell r="B487" t="str">
            <v>UX-CPU-HP-00009</v>
          </cell>
          <cell r="C487" t="str">
            <v>N</v>
          </cell>
          <cell r="D487" t="str">
            <v>비대상</v>
          </cell>
          <cell r="E487" t="str">
            <v>CDS</v>
          </cell>
          <cell r="F487" t="str">
            <v>CDS</v>
          </cell>
          <cell r="G487" t="str">
            <v>C/S</v>
          </cell>
          <cell r="H487" t="str">
            <v>보라매</v>
          </cell>
          <cell r="I487" t="str">
            <v>CDS1(현재미사용)</v>
          </cell>
        </row>
        <row r="488">
          <cell r="A488" t="str">
            <v>CDS2</v>
          </cell>
          <cell r="B488" t="str">
            <v>UX-CPU-HP-00010</v>
          </cell>
          <cell r="C488" t="str">
            <v>N</v>
          </cell>
          <cell r="D488" t="str">
            <v>비대상</v>
          </cell>
          <cell r="E488" t="str">
            <v>CDS</v>
          </cell>
          <cell r="F488" t="str">
            <v>CDS</v>
          </cell>
          <cell r="G488" t="str">
            <v>C/S</v>
          </cell>
          <cell r="H488" t="str">
            <v>보라매</v>
          </cell>
          <cell r="I488" t="str">
            <v>CDS2(현재미사용)</v>
          </cell>
        </row>
        <row r="489">
          <cell r="B489" t="str">
            <v>NT-Server-CPU-Compaq-09000</v>
          </cell>
          <cell r="C489" t="str">
            <v>N</v>
          </cell>
          <cell r="D489" t="str">
            <v>비대상</v>
          </cell>
          <cell r="H489" t="str">
            <v>동아건설 빌딩</v>
          </cell>
          <cell r="I489" t="str">
            <v>9. 캠페인관리 실행채널(TM) 구축</v>
          </cell>
        </row>
        <row r="490">
          <cell r="B490" t="str">
            <v>NT-Server-CPU-ETC-09027</v>
          </cell>
          <cell r="C490" t="str">
            <v>N</v>
          </cell>
          <cell r="D490" t="str">
            <v>비대상</v>
          </cell>
          <cell r="H490" t="str">
            <v>동아건설 빌딩</v>
          </cell>
        </row>
        <row r="491">
          <cell r="B491" t="str">
            <v>NT-Server-CPU-ETC-09028</v>
          </cell>
          <cell r="C491" t="str">
            <v>N</v>
          </cell>
          <cell r="D491" t="str">
            <v>비대상</v>
          </cell>
          <cell r="H491" t="str">
            <v>동아건설 빌딩</v>
          </cell>
        </row>
        <row r="492">
          <cell r="A492" t="str">
            <v>ARSFEE</v>
          </cell>
          <cell r="B492" t="str">
            <v>NT-Server-CPU-ETC-09139</v>
          </cell>
          <cell r="C492" t="str">
            <v>N</v>
          </cell>
          <cell r="D492" t="str">
            <v>비대상</v>
          </cell>
          <cell r="H492" t="str">
            <v>구로 콜센터</v>
          </cell>
          <cell r="I492" t="str">
            <v>요금정보 시스템</v>
          </cell>
        </row>
        <row r="493">
          <cell r="B493" t="str">
            <v>NT-Server-CPU-ETC-09162</v>
          </cell>
          <cell r="C493" t="str">
            <v>N</v>
          </cell>
          <cell r="D493" t="str">
            <v>비대상</v>
          </cell>
          <cell r="H493" t="str">
            <v>구로 콜센터</v>
          </cell>
        </row>
        <row r="494">
          <cell r="A494" t="str">
            <v>OCS SERVER(T)</v>
          </cell>
          <cell r="B494" t="str">
            <v>NT-Server-CPU-ETC-09163</v>
          </cell>
          <cell r="C494" t="str">
            <v>N</v>
          </cell>
          <cell r="D494" t="str">
            <v>비대상</v>
          </cell>
          <cell r="H494" t="str">
            <v>구로 콜센터</v>
          </cell>
          <cell r="I494" t="str">
            <v>상담OCS TEST장비</v>
          </cell>
        </row>
        <row r="495">
          <cell r="A495" t="str">
            <v>OCS CLIENT(T)</v>
          </cell>
          <cell r="B495" t="str">
            <v>NT-Server-CPU-ETC-09164</v>
          </cell>
          <cell r="C495" t="str">
            <v>N</v>
          </cell>
          <cell r="D495" t="str">
            <v>비대상</v>
          </cell>
          <cell r="H495" t="str">
            <v>구로 콜센터</v>
          </cell>
          <cell r="I495" t="str">
            <v>상담OCS TEST장비</v>
          </cell>
        </row>
        <row r="496">
          <cell r="A496" t="str">
            <v>NetworksDT</v>
          </cell>
          <cell r="B496" t="str">
            <v>NT-Server-CPU-Compaq-08002</v>
          </cell>
          <cell r="C496" t="str">
            <v>N</v>
          </cell>
          <cell r="D496" t="str">
            <v>비대상</v>
          </cell>
          <cell r="H496" t="str">
            <v>보라매</v>
          </cell>
          <cell r="I496" t="str">
            <v>인트라넷Mail Cluster</v>
          </cell>
        </row>
        <row r="497">
          <cell r="A497" t="str">
            <v>Intra WK1</v>
          </cell>
          <cell r="B497" t="str">
            <v>NT-Server-CPU-Compaq-08003</v>
          </cell>
          <cell r="C497" t="str">
            <v>N</v>
          </cell>
          <cell r="D497" t="str">
            <v>비대상</v>
          </cell>
          <cell r="H497" t="str">
            <v>보라매</v>
          </cell>
          <cell r="I497" t="str">
            <v>URL 차단 System</v>
          </cell>
        </row>
        <row r="498">
          <cell r="A498" t="str">
            <v>Intra WK2</v>
          </cell>
          <cell r="B498" t="str">
            <v>NT-Server-CPU-Compaq-08004</v>
          </cell>
          <cell r="C498" t="str">
            <v>N</v>
          </cell>
          <cell r="D498" t="str">
            <v>비대상</v>
          </cell>
          <cell r="H498" t="str">
            <v>보라매</v>
          </cell>
          <cell r="I498" t="str">
            <v>URL 차단 System</v>
          </cell>
        </row>
        <row r="499">
          <cell r="A499" t="str">
            <v>Intranet-ES3</v>
          </cell>
          <cell r="B499" t="str">
            <v>NT-Server-CPU-Compaq-08005</v>
          </cell>
          <cell r="C499" t="str">
            <v>N</v>
          </cell>
          <cell r="D499" t="str">
            <v>비대상</v>
          </cell>
          <cell r="H499" t="str">
            <v>보라매</v>
          </cell>
          <cell r="I499" t="str">
            <v>네트워크/서버 트래픽측정</v>
          </cell>
        </row>
        <row r="500">
          <cell r="A500" t="str">
            <v>Intranet-ES2</v>
          </cell>
          <cell r="B500" t="str">
            <v>NT-Server-CPU-Compaq-08006</v>
          </cell>
          <cell r="C500" t="str">
            <v>N</v>
          </cell>
          <cell r="D500" t="str">
            <v>비대상</v>
          </cell>
          <cell r="H500" t="str">
            <v>보라매</v>
          </cell>
          <cell r="I500" t="str">
            <v>네트워크/서버 트래픽측정</v>
          </cell>
        </row>
        <row r="501">
          <cell r="A501" t="str">
            <v>Intranet-ES1</v>
          </cell>
          <cell r="B501" t="str">
            <v>NT-Server-CPU-Compaq-08007</v>
          </cell>
          <cell r="C501" t="str">
            <v>N</v>
          </cell>
          <cell r="D501" t="str">
            <v>비대상</v>
          </cell>
          <cell r="H501" t="str">
            <v>보라매</v>
          </cell>
          <cell r="I501" t="str">
            <v>네트워크/서버 트래픽측정</v>
          </cell>
        </row>
        <row r="502">
          <cell r="A502" t="str">
            <v>DSS_SRV</v>
          </cell>
          <cell r="B502" t="str">
            <v>NT-Server-CPU-Compaq-08009</v>
          </cell>
          <cell r="C502" t="str">
            <v>N</v>
          </cell>
          <cell r="D502" t="str">
            <v>비대상</v>
          </cell>
          <cell r="H502" t="str">
            <v>보라매</v>
          </cell>
          <cell r="I502" t="str">
            <v>DBM</v>
          </cell>
        </row>
        <row r="503">
          <cell r="A503" t="str">
            <v>MULTI MEDIA02</v>
          </cell>
          <cell r="B503" t="str">
            <v>NT-Server-CPU-Compaq-08015</v>
          </cell>
          <cell r="C503" t="str">
            <v>N</v>
          </cell>
          <cell r="D503" t="str">
            <v>비대상</v>
          </cell>
          <cell r="H503" t="str">
            <v>보라매</v>
          </cell>
          <cell r="I503" t="str">
            <v>텔레콤 멀티미디어 인프라 구축</v>
          </cell>
        </row>
        <row r="504">
          <cell r="A504" t="str">
            <v>MULTI MEDIA01</v>
          </cell>
          <cell r="B504" t="str">
            <v>NT-Server-CPU-Compaq-08016</v>
          </cell>
          <cell r="C504" t="str">
            <v>N</v>
          </cell>
          <cell r="D504" t="str">
            <v>비대상</v>
          </cell>
          <cell r="H504" t="str">
            <v>보라매</v>
          </cell>
          <cell r="I504" t="str">
            <v>텔레콤 멀티미디어 인프라 구축</v>
          </cell>
        </row>
        <row r="505">
          <cell r="A505" t="str">
            <v>Neoguard</v>
          </cell>
          <cell r="B505" t="str">
            <v>NT-Server-CPU-Compaq-08029</v>
          </cell>
          <cell r="C505" t="str">
            <v>N</v>
          </cell>
          <cell r="D505" t="str">
            <v>비대상</v>
          </cell>
          <cell r="H505" t="str">
            <v>보라매</v>
          </cell>
          <cell r="I505" t="str">
            <v>SKT정보보안 인프라관련시스템</v>
          </cell>
        </row>
        <row r="506">
          <cell r="A506" t="str">
            <v>BONSA-1</v>
          </cell>
          <cell r="B506" t="str">
            <v>NT-Server-CPU-Compaq-08032</v>
          </cell>
          <cell r="C506" t="str">
            <v>N</v>
          </cell>
          <cell r="D506" t="str">
            <v>비대상</v>
          </cell>
          <cell r="H506" t="str">
            <v>보라매</v>
          </cell>
          <cell r="I506" t="str">
            <v>용도없음</v>
          </cell>
        </row>
        <row r="507">
          <cell r="A507" t="str">
            <v>WFSERVER</v>
          </cell>
          <cell r="B507" t="str">
            <v>NT-Server-CPU-Compaq-08043</v>
          </cell>
          <cell r="C507" t="str">
            <v>N</v>
          </cell>
          <cell r="D507" t="str">
            <v>비대상</v>
          </cell>
          <cell r="H507" t="str">
            <v>보라매</v>
          </cell>
          <cell r="I507" t="str">
            <v>용도없음</v>
          </cell>
        </row>
        <row r="508">
          <cell r="A508" t="str">
            <v>BILL2</v>
          </cell>
          <cell r="B508" t="str">
            <v>NT-Server-CPU-Compaq-08057</v>
          </cell>
          <cell r="C508" t="str">
            <v>N</v>
          </cell>
          <cell r="D508" t="str">
            <v>비대상</v>
          </cell>
          <cell r="H508" t="str">
            <v>보라매</v>
          </cell>
          <cell r="I508" t="str">
            <v>용도없음</v>
          </cell>
        </row>
        <row r="509">
          <cell r="A509" t="str">
            <v>CA</v>
          </cell>
          <cell r="B509" t="str">
            <v>NT-Server-CPU-Compaq-08058</v>
          </cell>
          <cell r="C509" t="str">
            <v>N</v>
          </cell>
          <cell r="D509" t="str">
            <v>비대상</v>
          </cell>
          <cell r="H509" t="str">
            <v>보라매</v>
          </cell>
          <cell r="I509" t="str">
            <v>용도없음</v>
          </cell>
        </row>
        <row r="510">
          <cell r="A510" t="str">
            <v>SKT_TSM</v>
          </cell>
          <cell r="B510" t="str">
            <v>NT-Server-CPU-Compaq-08059</v>
          </cell>
          <cell r="C510" t="str">
            <v>N</v>
          </cell>
          <cell r="D510" t="str">
            <v>비대상</v>
          </cell>
          <cell r="H510" t="str">
            <v>보라매</v>
          </cell>
          <cell r="I510" t="str">
            <v>TSM(SKT수도권)</v>
          </cell>
        </row>
        <row r="511">
          <cell r="A511" t="str">
            <v>MANTSENT11</v>
          </cell>
          <cell r="B511" t="str">
            <v>NT-Server-CPU-Compaq-08060</v>
          </cell>
          <cell r="C511" t="str">
            <v>N</v>
          </cell>
          <cell r="D511" t="str">
            <v>비대상</v>
          </cell>
          <cell r="H511" t="str">
            <v>보라매</v>
          </cell>
          <cell r="I511" t="str">
            <v>HELPDESK운영관리</v>
          </cell>
        </row>
        <row r="512">
          <cell r="A512" t="str">
            <v>ERP_Server</v>
          </cell>
          <cell r="B512" t="str">
            <v>NT-Server-CPU-HP-08007</v>
          </cell>
          <cell r="C512" t="str">
            <v>N</v>
          </cell>
          <cell r="D512" t="str">
            <v>비대상</v>
          </cell>
          <cell r="H512" t="str">
            <v>보라매</v>
          </cell>
          <cell r="I512" t="str">
            <v>ERP개발용</v>
          </cell>
        </row>
        <row r="513">
          <cell r="A513" t="str">
            <v>TOTAL_INFO</v>
          </cell>
          <cell r="B513" t="str">
            <v>NT-Server-CPU-Compaq-08121</v>
          </cell>
          <cell r="C513" t="str">
            <v>N</v>
          </cell>
          <cell r="D513" t="str">
            <v>비대상</v>
          </cell>
          <cell r="H513" t="str">
            <v>보라매</v>
          </cell>
          <cell r="I513" t="str">
            <v>근무관리</v>
          </cell>
        </row>
        <row r="514">
          <cell r="A514" t="str">
            <v>PCWATCH_AGENT</v>
          </cell>
          <cell r="B514" t="str">
            <v>NT-Server-CPU-Compaq-08124</v>
          </cell>
          <cell r="C514" t="str">
            <v>N</v>
          </cell>
          <cell r="D514" t="str">
            <v>비대상</v>
          </cell>
          <cell r="H514" t="str">
            <v>보라매</v>
          </cell>
          <cell r="I514" t="str">
            <v>OA보안</v>
          </cell>
        </row>
        <row r="515">
          <cell r="A515" t="str">
            <v>VLS2DEV</v>
          </cell>
          <cell r="B515" t="str">
            <v>NT-Server-CPU-Compaq-08125</v>
          </cell>
          <cell r="C515" t="str">
            <v>N</v>
          </cell>
          <cell r="D515" t="str">
            <v>비대상</v>
          </cell>
          <cell r="H515" t="str">
            <v>보라매</v>
          </cell>
          <cell r="I515" t="str">
            <v>VLS개발서버</v>
          </cell>
        </row>
        <row r="516">
          <cell r="A516" t="str">
            <v>MAILI_AGENT</v>
          </cell>
          <cell r="B516" t="str">
            <v>NT-Server-CPU-Compaq-08126</v>
          </cell>
          <cell r="C516" t="str">
            <v>N</v>
          </cell>
          <cell r="D516" t="str">
            <v>비대상</v>
          </cell>
          <cell r="H516" t="str">
            <v>보라매</v>
          </cell>
          <cell r="I516" t="str">
            <v>OA보안</v>
          </cell>
        </row>
        <row r="517">
          <cell r="A517" t="str">
            <v>WEBKEEPER_AGENT</v>
          </cell>
          <cell r="B517" t="str">
            <v>NT-Server-CPU-Compaq-08127</v>
          </cell>
          <cell r="C517" t="str">
            <v>N</v>
          </cell>
          <cell r="D517" t="str">
            <v>비대상</v>
          </cell>
          <cell r="H517" t="str">
            <v>보라매</v>
          </cell>
          <cell r="I517" t="str">
            <v>OA보안</v>
          </cell>
        </row>
        <row r="518">
          <cell r="A518" t="str">
            <v>NEOWATCH_AGENT</v>
          </cell>
          <cell r="B518" t="str">
            <v>NT-Server-CPU-Compaq-08128</v>
          </cell>
          <cell r="C518" t="str">
            <v>N</v>
          </cell>
          <cell r="D518" t="str">
            <v>비대상</v>
          </cell>
          <cell r="H518" t="str">
            <v>보라매</v>
          </cell>
          <cell r="I518" t="str">
            <v>OA보안</v>
          </cell>
        </row>
        <row r="519">
          <cell r="A519" t="str">
            <v>NTS_BACKMGR</v>
          </cell>
          <cell r="B519" t="str">
            <v>NT-Server-CPU-Compaq-08131</v>
          </cell>
          <cell r="C519" t="str">
            <v>N</v>
          </cell>
          <cell r="D519" t="str">
            <v>비대상</v>
          </cell>
          <cell r="H519" t="str">
            <v>보라매</v>
          </cell>
          <cell r="I519" t="str">
            <v>NT성능모니터로그수집</v>
          </cell>
        </row>
        <row r="520">
          <cell r="A520" t="str">
            <v>MIS_TEST</v>
          </cell>
          <cell r="B520" t="str">
            <v>NT-Server-CPU-Compaq-08144</v>
          </cell>
          <cell r="C520" t="str">
            <v>N</v>
          </cell>
          <cell r="D520" t="str">
            <v>비대상</v>
          </cell>
          <cell r="H520" t="str">
            <v>보라매</v>
          </cell>
          <cell r="I520" t="str">
            <v>근무관리</v>
          </cell>
        </row>
        <row r="521">
          <cell r="A521" t="str">
            <v>PRIDT</v>
          </cell>
          <cell r="B521" t="str">
            <v>NT-Server-CPU-Compaq-08152</v>
          </cell>
          <cell r="C521" t="str">
            <v>N</v>
          </cell>
          <cell r="D521" t="str">
            <v>비대상</v>
          </cell>
          <cell r="H521" t="str">
            <v>보라매</v>
          </cell>
          <cell r="I521" t="str">
            <v>PRID Server</v>
          </cell>
        </row>
        <row r="522">
          <cell r="A522" t="str">
            <v>WEBNT1</v>
          </cell>
          <cell r="B522" t="str">
            <v>NT-Server-CPU-Compaq-08156</v>
          </cell>
          <cell r="C522" t="str">
            <v>N</v>
          </cell>
          <cell r="D522" t="str">
            <v>비대상</v>
          </cell>
          <cell r="H522" t="str">
            <v>보라매</v>
          </cell>
          <cell r="I522" t="str">
            <v>대리점업무지원</v>
          </cell>
        </row>
        <row r="523">
          <cell r="A523" t="str">
            <v>WEBNT2</v>
          </cell>
          <cell r="B523" t="str">
            <v>NT-Server-CPU-Compaq-08157</v>
          </cell>
          <cell r="C523" t="str">
            <v>N</v>
          </cell>
          <cell r="D523" t="str">
            <v>비대상</v>
          </cell>
          <cell r="H523" t="str">
            <v>보라매</v>
          </cell>
          <cell r="I523" t="str">
            <v>대리점업무지원</v>
          </cell>
        </row>
        <row r="524">
          <cell r="A524" t="str">
            <v>PERFMAN</v>
          </cell>
          <cell r="B524" t="str">
            <v>NT-Server-CPU-Compaq-08158</v>
          </cell>
          <cell r="C524" t="str">
            <v>N</v>
          </cell>
          <cell r="D524" t="str">
            <v>비대상</v>
          </cell>
          <cell r="H524" t="str">
            <v>보라매</v>
          </cell>
          <cell r="I524" t="str">
            <v>성능모니터수집</v>
          </cell>
        </row>
        <row r="525">
          <cell r="A525" t="str">
            <v>VLSDJ</v>
          </cell>
          <cell r="B525" t="str">
            <v>NT-Server-CPU-Compaq-08147</v>
          </cell>
          <cell r="C525" t="str">
            <v>N</v>
          </cell>
          <cell r="D525" t="str">
            <v>비대상</v>
          </cell>
          <cell r="H525" t="str">
            <v>보라매</v>
          </cell>
          <cell r="I525" t="str">
            <v>VLS</v>
          </cell>
        </row>
        <row r="526">
          <cell r="A526" t="str">
            <v>VLSKJ</v>
          </cell>
          <cell r="B526" t="str">
            <v>NT-Server-CPU-Compaq-08146</v>
          </cell>
          <cell r="C526" t="str">
            <v>N</v>
          </cell>
          <cell r="D526" t="str">
            <v>비대상</v>
          </cell>
          <cell r="H526" t="str">
            <v>보라매</v>
          </cell>
          <cell r="I526" t="str">
            <v>VLS</v>
          </cell>
        </row>
        <row r="527">
          <cell r="A527" t="str">
            <v>VLSPS</v>
          </cell>
          <cell r="B527" t="str">
            <v>NT-Server-CPU-Compaq-08145</v>
          </cell>
          <cell r="C527" t="str">
            <v>N</v>
          </cell>
          <cell r="D527" t="str">
            <v>비대상</v>
          </cell>
          <cell r="H527" t="str">
            <v>보라매</v>
          </cell>
          <cell r="I527" t="str">
            <v>VLS</v>
          </cell>
        </row>
        <row r="528">
          <cell r="A528" t="str">
            <v>HYP_ESS</v>
          </cell>
          <cell r="B528" t="str">
            <v>NT-Server-CPU-HP-08006</v>
          </cell>
          <cell r="C528" t="str">
            <v>N</v>
          </cell>
          <cell r="D528" t="str">
            <v>비대상</v>
          </cell>
          <cell r="H528" t="str">
            <v>보라매</v>
          </cell>
          <cell r="I528" t="str">
            <v>DBM프로젝트용</v>
          </cell>
        </row>
        <row r="529">
          <cell r="A529" t="str">
            <v>BONSA</v>
          </cell>
          <cell r="B529" t="str">
            <v>NT-Server-CPU-Compaq-08030</v>
          </cell>
          <cell r="C529" t="str">
            <v>N</v>
          </cell>
          <cell r="D529" t="str">
            <v>비대상</v>
          </cell>
          <cell r="H529" t="str">
            <v>보라매</v>
          </cell>
          <cell r="I529" t="str">
            <v>FILE SERVER</v>
          </cell>
        </row>
        <row r="530">
          <cell r="A530" t="str">
            <v>JINJU</v>
          </cell>
          <cell r="B530" t="str">
            <v>NT-Server-CPU-Compaq-08067</v>
          </cell>
          <cell r="C530" t="str">
            <v>N</v>
          </cell>
          <cell r="D530" t="str">
            <v>비대상</v>
          </cell>
          <cell r="H530" t="str">
            <v>보라매</v>
          </cell>
          <cell r="I530" t="str">
            <v>용도없음</v>
          </cell>
        </row>
        <row r="531">
          <cell r="A531" t="str">
            <v>YOUNGDENPO</v>
          </cell>
          <cell r="B531" t="str">
            <v>NT-Server-CPU-Compaq-08081</v>
          </cell>
          <cell r="C531" t="str">
            <v>N</v>
          </cell>
          <cell r="D531" t="str">
            <v>비대상</v>
          </cell>
          <cell r="H531" t="str">
            <v>보라매</v>
          </cell>
          <cell r="I531" t="str">
            <v>용도없음</v>
          </cell>
        </row>
        <row r="532">
          <cell r="A532" t="str">
            <v>RTMC01</v>
          </cell>
          <cell r="B532" t="str">
            <v>NT-Server-CPU-Compaq-08159</v>
          </cell>
          <cell r="C532" t="str">
            <v>N</v>
          </cell>
          <cell r="D532" t="str">
            <v>비대상</v>
          </cell>
          <cell r="H532" t="str">
            <v>보라매</v>
          </cell>
        </row>
        <row r="533">
          <cell r="A533" t="str">
            <v>RTMC02</v>
          </cell>
          <cell r="B533" t="str">
            <v>NT-Server-CPU-Compaq-08160</v>
          </cell>
          <cell r="C533" t="str">
            <v>N</v>
          </cell>
          <cell r="D533" t="str">
            <v>비대상</v>
          </cell>
          <cell r="H533" t="str">
            <v>보라매</v>
          </cell>
        </row>
        <row r="534">
          <cell r="A534" t="str">
            <v>ERP_PD1</v>
          </cell>
          <cell r="B534" t="str">
            <v>NT-Server-CPU-Compaq-08161</v>
          </cell>
          <cell r="C534" t="str">
            <v>N</v>
          </cell>
          <cell r="D534" t="str">
            <v>비대상</v>
          </cell>
          <cell r="H534" t="str">
            <v>보라매</v>
          </cell>
          <cell r="I534" t="str">
            <v>옴니백 소프트웨어</v>
          </cell>
        </row>
        <row r="535">
          <cell r="A535" t="str">
            <v>MOBAIL1</v>
          </cell>
          <cell r="B535" t="str">
            <v>NT-Server-CPU-Compaq-08162</v>
          </cell>
          <cell r="C535" t="str">
            <v>N</v>
          </cell>
          <cell r="D535" t="str">
            <v>비대상</v>
          </cell>
          <cell r="H535" t="str">
            <v>보라매</v>
          </cell>
          <cell r="I535" t="str">
            <v>Web Server</v>
          </cell>
        </row>
        <row r="536">
          <cell r="A536" t="str">
            <v>DBMS_OLAP</v>
          </cell>
          <cell r="B536" t="str">
            <v>NT-Server-CPU-IBM-08000</v>
          </cell>
          <cell r="C536" t="str">
            <v>N</v>
          </cell>
          <cell r="D536" t="str">
            <v>비대상</v>
          </cell>
          <cell r="H536" t="str">
            <v>보라매</v>
          </cell>
          <cell r="I536" t="str">
            <v>DB서버</v>
          </cell>
        </row>
        <row r="537">
          <cell r="A537" t="str">
            <v>KMS3</v>
          </cell>
          <cell r="B537" t="str">
            <v>NT-Server-CPU-Compaq-08163</v>
          </cell>
          <cell r="C537" t="str">
            <v>N</v>
          </cell>
          <cell r="D537" t="str">
            <v>비대상</v>
          </cell>
          <cell r="H537" t="str">
            <v>보라매</v>
          </cell>
          <cell r="I537" t="str">
            <v>KM Server</v>
          </cell>
        </row>
        <row r="538">
          <cell r="A538" t="str">
            <v>KMS4</v>
          </cell>
          <cell r="B538" t="str">
            <v>NT-Server-CPU-Compaq-08164</v>
          </cell>
          <cell r="C538" t="str">
            <v>N</v>
          </cell>
          <cell r="D538" t="str">
            <v>비대상</v>
          </cell>
          <cell r="H538" t="str">
            <v>보라매</v>
          </cell>
          <cell r="I538" t="str">
            <v>PDF Server</v>
          </cell>
        </row>
        <row r="539">
          <cell r="A539" t="str">
            <v>SKT-MQ03</v>
          </cell>
          <cell r="B539" t="str">
            <v>NT-Server-CPU-Compaq-08165</v>
          </cell>
          <cell r="C539" t="str">
            <v>N</v>
          </cell>
          <cell r="D539" t="str">
            <v>비대상</v>
          </cell>
          <cell r="H539" t="str">
            <v>보라매</v>
          </cell>
          <cell r="I539" t="str">
            <v>신세기 MQ서버</v>
          </cell>
        </row>
        <row r="540">
          <cell r="A540" t="str">
            <v>SKT-MQ04</v>
          </cell>
          <cell r="B540" t="str">
            <v>NT-Server-CPU-Compaq-08166</v>
          </cell>
          <cell r="C540" t="str">
            <v>N</v>
          </cell>
          <cell r="D540" t="str">
            <v>비대상</v>
          </cell>
          <cell r="H540" t="str">
            <v>보라매</v>
          </cell>
          <cell r="I540" t="str">
            <v>신세기 MQ서버</v>
          </cell>
        </row>
        <row r="541">
          <cell r="A541" t="str">
            <v>NOT INSTALL</v>
          </cell>
          <cell r="B541" t="str">
            <v>NT-Server-CPU-Compaq-08167</v>
          </cell>
          <cell r="C541" t="str">
            <v>N</v>
          </cell>
          <cell r="D541" t="str">
            <v>비대상</v>
          </cell>
          <cell r="H541" t="str">
            <v>보라매</v>
          </cell>
          <cell r="I541" t="str">
            <v>OA보안장비</v>
          </cell>
        </row>
        <row r="542">
          <cell r="A542" t="str">
            <v>NOT INSTALL</v>
          </cell>
          <cell r="B542" t="str">
            <v>NT-Server-CPU-Compaq-08168</v>
          </cell>
          <cell r="C542" t="str">
            <v>N</v>
          </cell>
          <cell r="D542" t="str">
            <v>비대상</v>
          </cell>
          <cell r="H542" t="str">
            <v>보라매</v>
          </cell>
          <cell r="I542" t="str">
            <v>OA보안장비</v>
          </cell>
        </row>
        <row r="543">
          <cell r="A543" t="str">
            <v>NOT INSTALL</v>
          </cell>
          <cell r="B543" t="str">
            <v>NT-Server-CPU-Compaq-08169</v>
          </cell>
          <cell r="C543" t="str">
            <v>N</v>
          </cell>
          <cell r="D543" t="str">
            <v>비대상</v>
          </cell>
          <cell r="H543" t="str">
            <v>보라매</v>
          </cell>
          <cell r="I543" t="str">
            <v>OA보안장비</v>
          </cell>
        </row>
        <row r="544">
          <cell r="A544" t="str">
            <v xml:space="preserve">ERPPP1              </v>
          </cell>
          <cell r="B544" t="str">
            <v>NT-Server-CPU-Compaq-08170</v>
          </cell>
          <cell r="C544" t="str">
            <v>N</v>
          </cell>
          <cell r="D544" t="str">
            <v>비대상</v>
          </cell>
          <cell r="H544" t="str">
            <v>보라매</v>
          </cell>
          <cell r="I544" t="str">
            <v xml:space="preserve">EBP운영용 EBP서버             </v>
          </cell>
        </row>
        <row r="545">
          <cell r="A545" t="str">
            <v xml:space="preserve">ERPSCPI1            </v>
          </cell>
          <cell r="B545" t="str">
            <v>NT-Server-CPU-Compaq-08171</v>
          </cell>
          <cell r="C545" t="str">
            <v>N</v>
          </cell>
          <cell r="D545" t="str">
            <v>비대상</v>
          </cell>
          <cell r="H545" t="str">
            <v>보라매</v>
          </cell>
          <cell r="I545" t="str">
            <v xml:space="preserve">EBP운연용 내부 인증서버       </v>
          </cell>
        </row>
        <row r="546">
          <cell r="A546" t="str">
            <v xml:space="preserve">ERPWBPX1            </v>
          </cell>
          <cell r="B546" t="str">
            <v>NT-Server-CPU-Compaq-08172</v>
          </cell>
          <cell r="C546" t="str">
            <v>N</v>
          </cell>
          <cell r="D546" t="str">
            <v>비대상</v>
          </cell>
          <cell r="H546" t="str">
            <v>보라매</v>
          </cell>
          <cell r="I546" t="str">
            <v xml:space="preserve">EBP운영용 외부 웹서버         </v>
          </cell>
        </row>
        <row r="547">
          <cell r="A547" t="str">
            <v xml:space="preserve">ERPWBPI1            </v>
          </cell>
          <cell r="B547" t="str">
            <v>NT-Server-CPU-Compaq-08173</v>
          </cell>
          <cell r="C547" t="str">
            <v>N</v>
          </cell>
          <cell r="D547" t="str">
            <v>비대상</v>
          </cell>
          <cell r="H547" t="str">
            <v>보라매</v>
          </cell>
          <cell r="I547" t="str">
            <v xml:space="preserve">EBP운영용 내부 웹서버         </v>
          </cell>
        </row>
        <row r="548">
          <cell r="A548" t="str">
            <v xml:space="preserve">ERPMDPI1            </v>
          </cell>
          <cell r="B548" t="str">
            <v>NT-Server-CPU-Compaq-08174</v>
          </cell>
          <cell r="C548" t="str">
            <v>N</v>
          </cell>
          <cell r="D548" t="str">
            <v>비대상</v>
          </cell>
          <cell r="H548" t="str">
            <v>보라매</v>
          </cell>
          <cell r="I548" t="str">
            <v xml:space="preserve">EBP 운영용 ITS 서버           </v>
          </cell>
        </row>
        <row r="549">
          <cell r="A549" t="str">
            <v xml:space="preserve">ERPPQ1              </v>
          </cell>
          <cell r="B549" t="str">
            <v>NT-Server-CPU-Compaq-08175</v>
          </cell>
          <cell r="C549" t="str">
            <v>N</v>
          </cell>
          <cell r="D549" t="str">
            <v>비대상</v>
          </cell>
          <cell r="H549" t="str">
            <v>보라매</v>
          </cell>
          <cell r="I549" t="str">
            <v xml:space="preserve">EBP Test 서버                 </v>
          </cell>
        </row>
        <row r="550">
          <cell r="A550" t="str">
            <v xml:space="preserve">ERPWBQX1            </v>
          </cell>
          <cell r="B550" t="str">
            <v>NT-Server-CPU-Compaq-08176</v>
          </cell>
          <cell r="C550" t="str">
            <v>N</v>
          </cell>
          <cell r="D550" t="str">
            <v>비대상</v>
          </cell>
          <cell r="H550" t="str">
            <v>보라매</v>
          </cell>
          <cell r="I550" t="str">
            <v xml:space="preserve">EBP운영용 외부 웹서버         </v>
          </cell>
        </row>
        <row r="551">
          <cell r="A551" t="str">
            <v xml:space="preserve">ERPSCDI1            </v>
          </cell>
          <cell r="B551" t="str">
            <v>NT-Server-CPU-Compaq-08177</v>
          </cell>
          <cell r="C551" t="str">
            <v>N</v>
          </cell>
          <cell r="D551" t="str">
            <v>비대상</v>
          </cell>
          <cell r="H551" t="str">
            <v>보라매</v>
          </cell>
          <cell r="I551" t="str">
            <v xml:space="preserve">EBP Dev/QA 인증 서버          </v>
          </cell>
        </row>
        <row r="552">
          <cell r="A552" t="str">
            <v>SKT-CYBERM</v>
          </cell>
          <cell r="B552" t="str">
            <v>NT-Server-CPU-IBM-08001</v>
          </cell>
          <cell r="C552" t="str">
            <v>N</v>
          </cell>
          <cell r="D552" t="str">
            <v>비대상</v>
          </cell>
          <cell r="H552" t="str">
            <v>보라매</v>
          </cell>
        </row>
        <row r="553">
          <cell r="A553" t="str">
            <v>SKTSVCNT</v>
          </cell>
          <cell r="B553" t="str">
            <v>NT-Server-CPU-Compaq-08178</v>
          </cell>
          <cell r="C553" t="str">
            <v>N</v>
          </cell>
          <cell r="D553" t="str">
            <v>비대상</v>
          </cell>
          <cell r="H553" t="str">
            <v>보라매</v>
          </cell>
          <cell r="I553" t="str">
            <v>3. CDR 오류검증 시스템 구축 개발</v>
          </cell>
        </row>
        <row r="554">
          <cell r="A554" t="str">
            <v>SKT-CAI</v>
          </cell>
          <cell r="B554" t="str">
            <v>NT-Server-CPU-Compaq-08179</v>
          </cell>
          <cell r="C554" t="str">
            <v>N</v>
          </cell>
          <cell r="D554" t="str">
            <v>비대상</v>
          </cell>
          <cell r="H554" t="str">
            <v>보라매</v>
          </cell>
        </row>
        <row r="555">
          <cell r="A555" t="str">
            <v>BIMS</v>
          </cell>
          <cell r="B555" t="str">
            <v>NT-Server-CPU-Compaq-08008</v>
          </cell>
          <cell r="C555" t="str">
            <v>N</v>
          </cell>
          <cell r="D555" t="str">
            <v>비대상</v>
          </cell>
          <cell r="H555" t="str">
            <v>SKT SK B/D</v>
          </cell>
          <cell r="I555" t="str">
            <v>BIMS 통합시스템구축 관련장비</v>
          </cell>
        </row>
        <row r="556">
          <cell r="A556" t="str">
            <v>GBSSYSTEM</v>
          </cell>
          <cell r="B556" t="str">
            <v>NT-Server-CPU-Compaq-08013</v>
          </cell>
          <cell r="C556" t="str">
            <v>N</v>
          </cell>
          <cell r="D556" t="str">
            <v>비대상</v>
          </cell>
          <cell r="H556" t="str">
            <v>SKT SK B/D</v>
          </cell>
          <cell r="I556" t="str">
            <v>텔레콤 멀티미디어 인프라 구축</v>
          </cell>
        </row>
        <row r="557">
          <cell r="A557" t="str">
            <v>INSTALL</v>
          </cell>
          <cell r="B557" t="str">
            <v>NT-Server-CPU-Compaq-08138</v>
          </cell>
          <cell r="C557" t="str">
            <v>N</v>
          </cell>
          <cell r="D557" t="str">
            <v>비대상</v>
          </cell>
          <cell r="H557" t="str">
            <v>SKT SK B/D</v>
          </cell>
          <cell r="I557" t="str">
            <v>DNS Service</v>
          </cell>
        </row>
        <row r="558">
          <cell r="A558" t="str">
            <v>Intranet-ES4</v>
          </cell>
          <cell r="B558" t="str">
            <v>NT-Server-CPU-Compaq-08000</v>
          </cell>
          <cell r="C558" t="str">
            <v>N</v>
          </cell>
          <cell r="D558" t="str">
            <v>비대상</v>
          </cell>
          <cell r="H558" t="str">
            <v>SKT SK B/D</v>
          </cell>
          <cell r="I558" t="str">
            <v>네트워크/서버 트래픽측정</v>
          </cell>
        </row>
        <row r="559">
          <cell r="A559" t="str">
            <v>OSP-Server</v>
          </cell>
          <cell r="B559" t="str">
            <v>NT-Server-CPU-Compaq-08123</v>
          </cell>
          <cell r="C559" t="str">
            <v>N</v>
          </cell>
          <cell r="D559" t="str">
            <v>비대상</v>
          </cell>
          <cell r="H559" t="str">
            <v>SKT SK B/D</v>
          </cell>
          <cell r="I559" t="str">
            <v>육성관리시스템</v>
          </cell>
        </row>
        <row r="560">
          <cell r="A560" t="str">
            <v>SKT_STSM</v>
          </cell>
          <cell r="B560" t="str">
            <v>NT-Server-CPU-Compaq-08137</v>
          </cell>
          <cell r="C560" t="str">
            <v>N</v>
          </cell>
          <cell r="D560" t="str">
            <v>비대상</v>
          </cell>
          <cell r="H560" t="str">
            <v>SKT SK B/D</v>
          </cell>
          <cell r="I560" t="str">
            <v>TSM(SKT본사)</v>
          </cell>
        </row>
        <row r="561">
          <cell r="A561" t="str">
            <v>HQNTSENT11</v>
          </cell>
          <cell r="B561" t="str">
            <v>NT-Server-CPU-Compaq-08074</v>
          </cell>
          <cell r="C561" t="str">
            <v>N</v>
          </cell>
          <cell r="D561" t="str">
            <v>비대상</v>
          </cell>
          <cell r="H561" t="str">
            <v>SKT그린 B/D</v>
          </cell>
          <cell r="I561" t="str">
            <v>용도없음(장비교체)</v>
          </cell>
        </row>
        <row r="562">
          <cell r="A562" t="str">
            <v>Intranet-ES5</v>
          </cell>
          <cell r="B562" t="str">
            <v>NT-Server-CPU-Compaq-08001</v>
          </cell>
          <cell r="C562" t="str">
            <v>N</v>
          </cell>
          <cell r="D562" t="str">
            <v>비대상</v>
          </cell>
          <cell r="H562" t="str">
            <v>SKT그린 B/D</v>
          </cell>
          <cell r="I562" t="str">
            <v>네트워크/서버 트래픽측정</v>
          </cell>
        </row>
        <row r="563">
          <cell r="A563" t="str">
            <v>SKT</v>
          </cell>
          <cell r="B563" t="str">
            <v>NT-Server-CPU-Compaq-08014</v>
          </cell>
          <cell r="C563" t="str">
            <v>N</v>
          </cell>
          <cell r="D563" t="str">
            <v>비대상</v>
          </cell>
          <cell r="H563" t="str">
            <v>SKT그린 B/D</v>
          </cell>
          <cell r="I563" t="str">
            <v>텔레콤 멀티미디어 인프라 구축</v>
          </cell>
        </row>
        <row r="564">
          <cell r="A564" t="str">
            <v>TEM</v>
          </cell>
          <cell r="B564" t="str">
            <v>NT-Server-CPU-Compaq-08049</v>
          </cell>
          <cell r="C564" t="str">
            <v>N</v>
          </cell>
          <cell r="D564" t="str">
            <v>비대상</v>
          </cell>
          <cell r="H564" t="str">
            <v>SKT그린 B/D</v>
          </cell>
          <cell r="I564" t="str">
            <v>용도없음</v>
          </cell>
        </row>
        <row r="565">
          <cell r="A565" t="str">
            <v>TEST2</v>
          </cell>
          <cell r="B565" t="str">
            <v>NT-Server-CPU-Compaq-08050</v>
          </cell>
          <cell r="C565" t="str">
            <v>N</v>
          </cell>
          <cell r="D565" t="str">
            <v>비대상</v>
          </cell>
          <cell r="H565" t="str">
            <v>SKT그린 B/D</v>
          </cell>
          <cell r="I565" t="str">
            <v>용도없음</v>
          </cell>
        </row>
        <row r="566">
          <cell r="A566" t="str">
            <v>ANDONG</v>
          </cell>
          <cell r="B566" t="str">
            <v>NT-Server-CPU-Compaq-08056</v>
          </cell>
          <cell r="C566" t="str">
            <v>N</v>
          </cell>
          <cell r="D566" t="str">
            <v>비대상</v>
          </cell>
          <cell r="H566" t="str">
            <v>SKT대구지사</v>
          </cell>
          <cell r="I566" t="str">
            <v>용도없음</v>
          </cell>
        </row>
        <row r="567">
          <cell r="A567" t="str">
            <v>DAEGUJUNGANG</v>
          </cell>
          <cell r="B567" t="str">
            <v>NT-Server-CPU-Compaq-08053</v>
          </cell>
          <cell r="C567" t="str">
            <v>N</v>
          </cell>
          <cell r="D567" t="str">
            <v>비대상</v>
          </cell>
          <cell r="H567" t="str">
            <v>SKT대구지사</v>
          </cell>
          <cell r="I567" t="str">
            <v>용도없음</v>
          </cell>
        </row>
        <row r="568">
          <cell r="A568" t="str">
            <v>DONGDAEGU</v>
          </cell>
          <cell r="B568" t="str">
            <v>NT-Server-CPU-Compaq-08051</v>
          </cell>
          <cell r="C568" t="str">
            <v>N</v>
          </cell>
          <cell r="D568" t="str">
            <v>비대상</v>
          </cell>
          <cell r="H568" t="str">
            <v>SKT대구지사</v>
          </cell>
          <cell r="I568" t="str">
            <v>용도없음</v>
          </cell>
        </row>
        <row r="569">
          <cell r="A569" t="str">
            <v>GUMI</v>
          </cell>
          <cell r="B569" t="str">
            <v>NT-Server-CPU-Compaq-08055</v>
          </cell>
          <cell r="C569" t="str">
            <v>N</v>
          </cell>
          <cell r="D569" t="str">
            <v>비대상</v>
          </cell>
          <cell r="H569" t="str">
            <v>SKT대구지사</v>
          </cell>
          <cell r="I569" t="str">
            <v>용도없음</v>
          </cell>
        </row>
        <row r="570">
          <cell r="A570" t="str">
            <v>NAMDAEGU</v>
          </cell>
          <cell r="B570" t="str">
            <v>NT-Server-CPU-Compaq-08052</v>
          </cell>
          <cell r="C570" t="str">
            <v>N</v>
          </cell>
          <cell r="D570" t="str">
            <v>비대상</v>
          </cell>
          <cell r="H570" t="str">
            <v>SKT대구지사</v>
          </cell>
          <cell r="I570" t="str">
            <v>용도없음</v>
          </cell>
        </row>
        <row r="571">
          <cell r="A571" t="str">
            <v>POHANG</v>
          </cell>
          <cell r="B571" t="str">
            <v>NT-Server-CPU-Compaq-08054</v>
          </cell>
          <cell r="C571" t="str">
            <v>N</v>
          </cell>
          <cell r="D571" t="str">
            <v>비대상</v>
          </cell>
          <cell r="H571" t="str">
            <v>SKT대구지사</v>
          </cell>
          <cell r="I571" t="str">
            <v>용도없음</v>
          </cell>
        </row>
        <row r="572">
          <cell r="A572" t="str">
            <v>SDAEGU_PDC</v>
          </cell>
          <cell r="B572" t="str">
            <v>NT-Server-CPU-Compaq-08031</v>
          </cell>
          <cell r="C572" t="str">
            <v>N</v>
          </cell>
          <cell r="D572" t="str">
            <v>비대상</v>
          </cell>
          <cell r="H572" t="str">
            <v>SKT대구지사</v>
          </cell>
          <cell r="I572" t="str">
            <v>FILE SERVER</v>
          </cell>
        </row>
        <row r="573">
          <cell r="A573" t="str">
            <v>SKT_DAEGUDHCP</v>
          </cell>
          <cell r="B573" t="str">
            <v>NT-Server-CPU-Compaq-08155</v>
          </cell>
          <cell r="C573" t="str">
            <v>N</v>
          </cell>
          <cell r="D573" t="str">
            <v>비대상</v>
          </cell>
          <cell r="H573" t="str">
            <v>SKT대구지사</v>
          </cell>
          <cell r="I573" t="str">
            <v>대구지사 DHCP Server Service</v>
          </cell>
        </row>
        <row r="574">
          <cell r="A574" t="str">
            <v>BUKPUSAN</v>
          </cell>
          <cell r="B574" t="str">
            <v>NT-Server-CPU-Compaq-08065</v>
          </cell>
          <cell r="C574" t="str">
            <v>N</v>
          </cell>
          <cell r="D574" t="str">
            <v>비대상</v>
          </cell>
          <cell r="H574" t="str">
            <v>SKT부산지사</v>
          </cell>
          <cell r="I574" t="str">
            <v>용도없음</v>
          </cell>
        </row>
        <row r="575">
          <cell r="A575" t="str">
            <v>DONGPUSAN</v>
          </cell>
          <cell r="B575" t="str">
            <v>NT-Server-CPU-Compaq-08064</v>
          </cell>
          <cell r="C575" t="str">
            <v>N</v>
          </cell>
          <cell r="D575" t="str">
            <v>비대상</v>
          </cell>
          <cell r="H575" t="str">
            <v>SKT부산지사</v>
          </cell>
          <cell r="I575" t="str">
            <v>용도없음</v>
          </cell>
        </row>
        <row r="576">
          <cell r="A576" t="str">
            <v>JUNGPUSAN</v>
          </cell>
          <cell r="B576" t="str">
            <v>NT-Server-CPU-Compaq-08063</v>
          </cell>
          <cell r="C576" t="str">
            <v>N</v>
          </cell>
          <cell r="D576" t="str">
            <v>비대상</v>
          </cell>
          <cell r="H576" t="str">
            <v>SKT부산지사</v>
          </cell>
          <cell r="I576" t="str">
            <v>용도없음</v>
          </cell>
        </row>
        <row r="577">
          <cell r="A577" t="str">
            <v>MASAN</v>
          </cell>
          <cell r="B577" t="str">
            <v>NT-Server-CPU-Compaq-08062</v>
          </cell>
          <cell r="C577" t="str">
            <v>N</v>
          </cell>
          <cell r="D577" t="str">
            <v>비대상</v>
          </cell>
          <cell r="H577" t="str">
            <v>SKT부산지사</v>
          </cell>
          <cell r="I577" t="str">
            <v>용도없음</v>
          </cell>
        </row>
        <row r="578">
          <cell r="A578" t="str">
            <v>NAMPUSAN</v>
          </cell>
          <cell r="B578" t="str">
            <v>NT-Server-CPU-Compaq-08066</v>
          </cell>
          <cell r="C578" t="str">
            <v>N</v>
          </cell>
          <cell r="D578" t="str">
            <v>비대상</v>
          </cell>
          <cell r="H578" t="str">
            <v>SKT부산지사</v>
          </cell>
          <cell r="I578" t="str">
            <v>용도없음</v>
          </cell>
        </row>
        <row r="579">
          <cell r="A579" t="str">
            <v>PUSAN_PDC</v>
          </cell>
          <cell r="B579" t="str">
            <v>NT-Server-CPU-Compaq-08033</v>
          </cell>
          <cell r="C579" t="str">
            <v>N</v>
          </cell>
          <cell r="D579" t="str">
            <v>비대상</v>
          </cell>
          <cell r="H579" t="str">
            <v>SKT부산지사</v>
          </cell>
          <cell r="I579" t="str">
            <v>FILE SERVER</v>
          </cell>
        </row>
        <row r="580">
          <cell r="A580" t="str">
            <v>PUSAN12</v>
          </cell>
          <cell r="B580" t="str">
            <v>NT-Server-CPU-Compaq-08036</v>
          </cell>
          <cell r="C580" t="str">
            <v>N</v>
          </cell>
          <cell r="D580" t="str">
            <v>비대상</v>
          </cell>
          <cell r="H580" t="str">
            <v>SKT부산지사</v>
          </cell>
          <cell r="I580" t="str">
            <v>FILE SERVER</v>
          </cell>
        </row>
        <row r="581">
          <cell r="A581" t="str">
            <v>PUSAN3</v>
          </cell>
          <cell r="B581" t="str">
            <v>NT-Server-CPU-Compaq-08035</v>
          </cell>
          <cell r="C581" t="str">
            <v>N</v>
          </cell>
          <cell r="D581" t="str">
            <v>비대상</v>
          </cell>
          <cell r="H581" t="str">
            <v>SKT부산지사</v>
          </cell>
          <cell r="I581" t="str">
            <v>FILE SERVER</v>
          </cell>
        </row>
        <row r="582">
          <cell r="A582" t="str">
            <v>PUSAN4</v>
          </cell>
          <cell r="B582" t="str">
            <v>NT-Server-CPU-Compaq-08034</v>
          </cell>
          <cell r="C582" t="str">
            <v>N</v>
          </cell>
          <cell r="D582" t="str">
            <v>비대상</v>
          </cell>
          <cell r="H582" t="str">
            <v>SKT부산지사</v>
          </cell>
          <cell r="I582" t="str">
            <v>FILE SERVER</v>
          </cell>
        </row>
        <row r="583">
          <cell r="A583" t="str">
            <v>ULSAN</v>
          </cell>
          <cell r="B583" t="str">
            <v>NT-Server-CPU-Compaq-08061</v>
          </cell>
          <cell r="C583" t="str">
            <v>N</v>
          </cell>
          <cell r="D583" t="str">
            <v>비대상</v>
          </cell>
          <cell r="H583" t="str">
            <v>SKT부산지사</v>
          </cell>
          <cell r="I583" t="str">
            <v>용도없음</v>
          </cell>
        </row>
        <row r="584">
          <cell r="A584" t="str">
            <v>JUNNAM_PDC</v>
          </cell>
          <cell r="B584" t="str">
            <v>NT-Server-CPU-Compaq-08037</v>
          </cell>
          <cell r="C584" t="str">
            <v>N</v>
          </cell>
          <cell r="D584" t="str">
            <v>비대상</v>
          </cell>
          <cell r="H584" t="str">
            <v>SKT서부지사(전남)</v>
          </cell>
          <cell r="I584" t="str">
            <v>FILE SERVER</v>
          </cell>
        </row>
        <row r="585">
          <cell r="A585" t="str">
            <v>KWANGJU</v>
          </cell>
          <cell r="B585" t="str">
            <v>NT-Server-CPU-Compaq-08068</v>
          </cell>
          <cell r="C585" t="str">
            <v>N</v>
          </cell>
          <cell r="D585" t="str">
            <v>비대상</v>
          </cell>
          <cell r="H585" t="str">
            <v>SKT서부지사(전남)</v>
          </cell>
          <cell r="I585" t="str">
            <v>용도없음</v>
          </cell>
        </row>
        <row r="586">
          <cell r="A586" t="str">
            <v>MOKPO</v>
          </cell>
          <cell r="B586" t="str">
            <v>NT-Server-CPU-Compaq-08071</v>
          </cell>
          <cell r="C586" t="str">
            <v>N</v>
          </cell>
          <cell r="D586" t="str">
            <v>비대상</v>
          </cell>
          <cell r="H586" t="str">
            <v>SKT서부지사(전남)</v>
          </cell>
          <cell r="I586" t="str">
            <v>용도없음</v>
          </cell>
        </row>
        <row r="587">
          <cell r="A587" t="str">
            <v>SEOKWANGJU</v>
          </cell>
          <cell r="B587" t="str">
            <v>NT-Server-CPU-Compaq-08070</v>
          </cell>
          <cell r="C587" t="str">
            <v>N</v>
          </cell>
          <cell r="D587" t="str">
            <v>비대상</v>
          </cell>
          <cell r="H587" t="str">
            <v>SKT서부지사(전남)</v>
          </cell>
          <cell r="I587" t="str">
            <v>용도없음</v>
          </cell>
        </row>
        <row r="588">
          <cell r="A588" t="str">
            <v>SUNCHUN</v>
          </cell>
          <cell r="B588" t="str">
            <v>NT-Server-CPU-Compaq-08069</v>
          </cell>
          <cell r="C588" t="str">
            <v>N</v>
          </cell>
          <cell r="D588" t="str">
            <v>비대상</v>
          </cell>
          <cell r="H588" t="str">
            <v>SKT서부지사(전남)</v>
          </cell>
          <cell r="I588" t="str">
            <v>용도없음</v>
          </cell>
        </row>
        <row r="589">
          <cell r="A589" t="str">
            <v>JUNBUK_PDC</v>
          </cell>
          <cell r="B589" t="str">
            <v>NT-Server-CPU-Compaq-08038</v>
          </cell>
          <cell r="C589" t="str">
            <v>N</v>
          </cell>
          <cell r="D589" t="str">
            <v>비대상</v>
          </cell>
          <cell r="H589" t="str">
            <v>SKT서부지사(전북)</v>
          </cell>
          <cell r="I589" t="str">
            <v>FILE SERVER</v>
          </cell>
        </row>
        <row r="590">
          <cell r="A590" t="str">
            <v>KUNSAN</v>
          </cell>
          <cell r="B590" t="str">
            <v>NT-Server-CPU-Compaq-08072</v>
          </cell>
          <cell r="C590" t="str">
            <v>N</v>
          </cell>
          <cell r="D590" t="str">
            <v>비대상</v>
          </cell>
          <cell r="H590" t="str">
            <v>SKT서부지사(전북)</v>
          </cell>
          <cell r="I590" t="str">
            <v>용도없음</v>
          </cell>
        </row>
        <row r="591">
          <cell r="A591" t="str">
            <v>JUNJU</v>
          </cell>
          <cell r="B591" t="str">
            <v>NT-Server-CPU-Compaq-08073</v>
          </cell>
          <cell r="C591" t="str">
            <v>N</v>
          </cell>
          <cell r="D591" t="str">
            <v>비대상</v>
          </cell>
          <cell r="H591" t="str">
            <v>SKT서부지사(전북)</v>
          </cell>
          <cell r="I591" t="str">
            <v>용도없음</v>
          </cell>
        </row>
        <row r="592">
          <cell r="A592" t="str">
            <v>JEJU_PDC</v>
          </cell>
          <cell r="B592" t="str">
            <v>NT-Server-CPU-Compaq-08039</v>
          </cell>
          <cell r="C592" t="str">
            <v>N</v>
          </cell>
          <cell r="D592" t="str">
            <v>비대상</v>
          </cell>
          <cell r="H592" t="str">
            <v>SKT서부지사(제주)</v>
          </cell>
          <cell r="I592" t="str">
            <v>FILE SERVER</v>
          </cell>
        </row>
        <row r="593">
          <cell r="A593" t="str">
            <v>KANGNAM</v>
          </cell>
          <cell r="B593" t="str">
            <v>NT-Server-CPU-Compaq-08078</v>
          </cell>
          <cell r="C593" t="str">
            <v>N</v>
          </cell>
          <cell r="D593" t="str">
            <v>비대상</v>
          </cell>
          <cell r="H593" t="str">
            <v>SKT수도권(강남)</v>
          </cell>
          <cell r="I593" t="str">
            <v>용도없음</v>
          </cell>
        </row>
        <row r="594">
          <cell r="A594" t="str">
            <v>DONGSEOUL</v>
          </cell>
          <cell r="B594" t="str">
            <v>NT-Server-CPU-Compaq-08076</v>
          </cell>
          <cell r="C594" t="str">
            <v>N</v>
          </cell>
          <cell r="D594" t="str">
            <v>비대상</v>
          </cell>
          <cell r="H594" t="str">
            <v>SKT수도권(동서울)</v>
          </cell>
          <cell r="I594" t="str">
            <v>용도없음</v>
          </cell>
        </row>
        <row r="595">
          <cell r="A595" t="str">
            <v>BUCHUN</v>
          </cell>
          <cell r="B595" t="str">
            <v>NT-Server-CPU-Compaq-08087</v>
          </cell>
          <cell r="C595" t="str">
            <v>N</v>
          </cell>
          <cell r="D595" t="str">
            <v>비대상</v>
          </cell>
          <cell r="H595" t="str">
            <v>SKT수도권(부천)</v>
          </cell>
          <cell r="I595" t="str">
            <v>용도없음</v>
          </cell>
        </row>
        <row r="596">
          <cell r="A596" t="str">
            <v>연수원</v>
          </cell>
          <cell r="B596" t="str">
            <v>NT-Server-CPU-Compaq-08089</v>
          </cell>
          <cell r="C596" t="str">
            <v>N</v>
          </cell>
          <cell r="D596" t="str">
            <v>비대상</v>
          </cell>
          <cell r="H596" t="str">
            <v>SKT수도권(분당)</v>
          </cell>
          <cell r="I596" t="str">
            <v>용도없음</v>
          </cell>
        </row>
        <row r="597">
          <cell r="A597" t="str">
            <v>BUNDANG_TCO</v>
          </cell>
          <cell r="B597" t="str">
            <v>NT-Server-CPU-Compaq-08083</v>
          </cell>
          <cell r="C597" t="str">
            <v>N</v>
          </cell>
          <cell r="D597" t="str">
            <v>비대상</v>
          </cell>
          <cell r="H597" t="str">
            <v>SKT수도권(분당)</v>
          </cell>
          <cell r="I597" t="str">
            <v>용도없음</v>
          </cell>
        </row>
        <row r="598">
          <cell r="A598" t="str">
            <v>VLSTEST</v>
          </cell>
          <cell r="B598" t="str">
            <v>NT-Server-CPU-Compaq-08011</v>
          </cell>
          <cell r="C598" t="str">
            <v>N</v>
          </cell>
          <cell r="D598" t="str">
            <v>비대상</v>
          </cell>
          <cell r="H598" t="str">
            <v>SKT수도권(분당)</v>
          </cell>
          <cell r="I598" t="str">
            <v>VLS개발/테스트</v>
          </cell>
        </row>
        <row r="599">
          <cell r="A599" t="str">
            <v>SUNGNAM</v>
          </cell>
          <cell r="B599" t="str">
            <v>NT-Server-CPU-Compaq-08086</v>
          </cell>
          <cell r="C599" t="str">
            <v>N</v>
          </cell>
          <cell r="D599" t="str">
            <v>비대상</v>
          </cell>
          <cell r="H599" t="str">
            <v>SKT수도권(성남)</v>
          </cell>
          <cell r="I599" t="str">
            <v>용도없음</v>
          </cell>
        </row>
        <row r="600">
          <cell r="A600" t="str">
            <v>SUWON</v>
          </cell>
          <cell r="B600" t="str">
            <v>NT-Server-CPU-Compaq-08075</v>
          </cell>
          <cell r="C600" t="str">
            <v>N</v>
          </cell>
          <cell r="D600" t="str">
            <v>비대상</v>
          </cell>
          <cell r="H600" t="str">
            <v>SKT수도권(수원)</v>
          </cell>
          <cell r="I600" t="str">
            <v>용도없음</v>
          </cell>
        </row>
        <row r="601">
          <cell r="A601" t="str">
            <v>ANYANG</v>
          </cell>
          <cell r="B601" t="str">
            <v>NT-Server-CPU-Compaq-08082</v>
          </cell>
          <cell r="C601" t="str">
            <v>N</v>
          </cell>
          <cell r="D601" t="str">
            <v>비대상</v>
          </cell>
          <cell r="H601" t="str">
            <v>SKT수도권(안양)</v>
          </cell>
          <cell r="I601" t="str">
            <v>용도없음</v>
          </cell>
        </row>
        <row r="602">
          <cell r="A602" t="str">
            <v>UIJUNGBU</v>
          </cell>
          <cell r="B602" t="str">
            <v>NT-Server-CPU-Compaq-08077</v>
          </cell>
          <cell r="C602" t="str">
            <v>N</v>
          </cell>
          <cell r="D602" t="str">
            <v>비대상</v>
          </cell>
          <cell r="H602" t="str">
            <v>SKT수도권(의정부)</v>
          </cell>
          <cell r="I602" t="str">
            <v>용도없음</v>
          </cell>
        </row>
        <row r="603">
          <cell r="A603" t="str">
            <v>INCHUN</v>
          </cell>
          <cell r="B603" t="str">
            <v>NT-Server-CPU-Compaq-08088</v>
          </cell>
          <cell r="C603" t="str">
            <v>N</v>
          </cell>
          <cell r="D603" t="str">
            <v>비대상</v>
          </cell>
          <cell r="H603" t="str">
            <v>SKT수도권(인천)</v>
          </cell>
          <cell r="I603" t="str">
            <v>용도없음</v>
          </cell>
        </row>
        <row r="604">
          <cell r="A604" t="str">
            <v>CHUNCHEON</v>
          </cell>
          <cell r="B604" t="str">
            <v>NT-Server-CPU-Compaq-08091</v>
          </cell>
          <cell r="C604" t="str">
            <v>N</v>
          </cell>
          <cell r="D604" t="str">
            <v>비대상</v>
          </cell>
          <cell r="H604" t="str">
            <v>SKT중부지사(강원)</v>
          </cell>
          <cell r="I604" t="str">
            <v>용도없음</v>
          </cell>
        </row>
        <row r="605">
          <cell r="A605" t="str">
            <v>KANGRNG</v>
          </cell>
          <cell r="B605" t="str">
            <v>NT-Server-CPU-Compaq-08090</v>
          </cell>
          <cell r="C605" t="str">
            <v>N</v>
          </cell>
          <cell r="D605" t="str">
            <v>비대상</v>
          </cell>
          <cell r="H605" t="str">
            <v>SKT중부지사(강원)</v>
          </cell>
          <cell r="I605" t="str">
            <v>용도없음</v>
          </cell>
        </row>
        <row r="606">
          <cell r="A606" t="str">
            <v>WONJU_PDC</v>
          </cell>
          <cell r="B606" t="str">
            <v>NT-Server-CPU-Compaq-08110</v>
          </cell>
          <cell r="C606" t="str">
            <v>N</v>
          </cell>
          <cell r="D606" t="str">
            <v>비대상</v>
          </cell>
          <cell r="H606" t="str">
            <v>SKT중부지사(강원)</v>
          </cell>
          <cell r="I606" t="str">
            <v>FILE SERVER</v>
          </cell>
        </row>
        <row r="607">
          <cell r="A607" t="str">
            <v>CHUNAN</v>
          </cell>
          <cell r="B607" t="str">
            <v>NT-Server-CPU-Compaq-08094</v>
          </cell>
          <cell r="C607" t="str">
            <v>N</v>
          </cell>
          <cell r="D607" t="str">
            <v>비대상</v>
          </cell>
          <cell r="H607" t="str">
            <v>SKT중부지사(충남)</v>
          </cell>
          <cell r="I607" t="str">
            <v>용도없음</v>
          </cell>
        </row>
        <row r="608">
          <cell r="A608" t="str">
            <v>CHUNGJU</v>
          </cell>
          <cell r="B608" t="str">
            <v>NT-Server-CPU-Compaq-08096</v>
          </cell>
          <cell r="C608" t="str">
            <v>N</v>
          </cell>
          <cell r="D608" t="str">
            <v>비대상</v>
          </cell>
          <cell r="H608" t="str">
            <v>SKT중부지사(충남)</v>
          </cell>
          <cell r="I608" t="str">
            <v>용도없음</v>
          </cell>
        </row>
        <row r="609">
          <cell r="A609" t="str">
            <v>CHUNGNAM_PDC</v>
          </cell>
          <cell r="B609" t="str">
            <v>NT-Server-CPU-Compaq-08041</v>
          </cell>
          <cell r="C609" t="str">
            <v>N</v>
          </cell>
          <cell r="D609" t="str">
            <v>비대상</v>
          </cell>
          <cell r="H609" t="str">
            <v>SKT중부지사(충남)</v>
          </cell>
          <cell r="I609" t="str">
            <v>FILE SERVER</v>
          </cell>
        </row>
        <row r="610">
          <cell r="A610" t="str">
            <v>DAEJUN</v>
          </cell>
          <cell r="B610" t="str">
            <v>NT-Server-CPU-Compaq-08095</v>
          </cell>
          <cell r="C610" t="str">
            <v>N</v>
          </cell>
          <cell r="D610" t="str">
            <v>비대상</v>
          </cell>
          <cell r="H610" t="str">
            <v>SKT중부지사(충남)</v>
          </cell>
          <cell r="I610" t="str">
            <v>용도없음</v>
          </cell>
        </row>
        <row r="611">
          <cell r="A611" t="str">
            <v>KONGJU</v>
          </cell>
          <cell r="B611" t="str">
            <v>NT-Server-CPU-Compaq-08093</v>
          </cell>
          <cell r="C611" t="str">
            <v>N</v>
          </cell>
          <cell r="D611" t="str">
            <v>비대상</v>
          </cell>
          <cell r="H611" t="str">
            <v>SKT중부지사(충남)</v>
          </cell>
          <cell r="I611" t="str">
            <v>용도없음</v>
          </cell>
        </row>
        <row r="612">
          <cell r="A612" t="str">
            <v>SEOSAN</v>
          </cell>
          <cell r="B612" t="str">
            <v>NT-Server-CPU-Compaq-08092</v>
          </cell>
          <cell r="C612" t="str">
            <v>N</v>
          </cell>
          <cell r="D612" t="str">
            <v>비대상</v>
          </cell>
          <cell r="H612" t="str">
            <v>SKT중부지사(충남)</v>
          </cell>
          <cell r="I612" t="str">
            <v>용도없음</v>
          </cell>
        </row>
        <row r="613">
          <cell r="A613" t="str">
            <v>CHEONGJU_DATA</v>
          </cell>
          <cell r="B613" t="str">
            <v>NT-Server-CPU-Compaq-08097</v>
          </cell>
          <cell r="C613" t="str">
            <v>N</v>
          </cell>
          <cell r="D613" t="str">
            <v>비대상</v>
          </cell>
          <cell r="H613" t="str">
            <v>SKT중부지사(충북)</v>
          </cell>
          <cell r="I613" t="str">
            <v>용도없음</v>
          </cell>
        </row>
        <row r="614">
          <cell r="A614" t="str">
            <v>CHEONGJU_PDC</v>
          </cell>
          <cell r="B614" t="str">
            <v>NT-Server-CPU-Compaq-08042</v>
          </cell>
          <cell r="C614" t="str">
            <v>N</v>
          </cell>
          <cell r="D614" t="str">
            <v>비대상</v>
          </cell>
          <cell r="H614" t="str">
            <v>SKT중부지사(충북)</v>
          </cell>
          <cell r="I614" t="str">
            <v>FILE SERVER</v>
          </cell>
        </row>
        <row r="615">
          <cell r="A615" t="str">
            <v>CHEONGJU_WEB</v>
          </cell>
          <cell r="B615" t="str">
            <v>NT-Server-CPU-Compaq-08120</v>
          </cell>
          <cell r="C615" t="str">
            <v>N</v>
          </cell>
          <cell r="D615" t="str">
            <v>비대상</v>
          </cell>
          <cell r="H615" t="str">
            <v>SKT중부지사(충북)</v>
          </cell>
          <cell r="I615" t="str">
            <v>중부고객센터 상담용</v>
          </cell>
        </row>
        <row r="616">
          <cell r="A616" t="str">
            <v>JONGRO</v>
          </cell>
          <cell r="B616" t="str">
            <v>NT-Server-CPU-Compaq-08079</v>
          </cell>
          <cell r="C616" t="str">
            <v>N</v>
          </cell>
          <cell r="D616" t="str">
            <v>비대상</v>
          </cell>
          <cell r="H616" t="str">
            <v>SKT그린 B/D</v>
          </cell>
          <cell r="I616" t="str">
            <v>용도없음</v>
          </cell>
        </row>
        <row r="617">
          <cell r="A617" t="str">
            <v>SEOCHO</v>
          </cell>
          <cell r="B617" t="str">
            <v>NT-Server-CPU-Compaq-08084</v>
          </cell>
          <cell r="C617" t="str">
            <v>N</v>
          </cell>
          <cell r="D617" t="str">
            <v>비대상</v>
          </cell>
          <cell r="H617" t="str">
            <v>SKT그린 B/D</v>
          </cell>
          <cell r="I617" t="str">
            <v>용도없음</v>
          </cell>
        </row>
        <row r="618">
          <cell r="A618" t="str">
            <v>SHINCHON</v>
          </cell>
          <cell r="B618" t="str">
            <v>NT-Server-CPU-Compaq-08080</v>
          </cell>
          <cell r="C618" t="str">
            <v>N</v>
          </cell>
          <cell r="D618" t="str">
            <v>비대상</v>
          </cell>
          <cell r="H618" t="str">
            <v>SKT그린 B/D</v>
          </cell>
          <cell r="I618" t="str">
            <v>용도없음</v>
          </cell>
        </row>
        <row r="619">
          <cell r="A619" t="str">
            <v>SUNGBUK</v>
          </cell>
          <cell r="B619" t="str">
            <v>NT-Server-CPU-Compaq-08085</v>
          </cell>
          <cell r="C619" t="str">
            <v>N</v>
          </cell>
          <cell r="D619" t="str">
            <v>비대상</v>
          </cell>
          <cell r="H619" t="str">
            <v>SKT그린 B/D</v>
          </cell>
          <cell r="I619" t="str">
            <v>용도없음</v>
          </cell>
        </row>
        <row r="620">
          <cell r="A620" t="str">
            <v>확인불가</v>
          </cell>
          <cell r="B620" t="str">
            <v>UX-CPU-E.T.C-00001</v>
          </cell>
          <cell r="C620" t="str">
            <v>N</v>
          </cell>
          <cell r="D620" t="str">
            <v>비대상</v>
          </cell>
          <cell r="H620" t="str">
            <v>보라매</v>
          </cell>
          <cell r="I620" t="str">
            <v>PRINTER</v>
          </cell>
        </row>
        <row r="621">
          <cell r="A621" t="str">
            <v>확인불가</v>
          </cell>
          <cell r="B621" t="str">
            <v>UX-CPU-E.T.C-00002</v>
          </cell>
          <cell r="C621" t="str">
            <v>N</v>
          </cell>
          <cell r="D621" t="str">
            <v>비대상</v>
          </cell>
          <cell r="H621" t="str">
            <v>보라매</v>
          </cell>
          <cell r="I621" t="str">
            <v>PRINTER</v>
          </cell>
        </row>
        <row r="622">
          <cell r="A622" t="str">
            <v>확인불가</v>
          </cell>
          <cell r="B622" t="str">
            <v>UX-CPU-E.T.C-00003</v>
          </cell>
          <cell r="C622" t="str">
            <v>N</v>
          </cell>
          <cell r="D622" t="str">
            <v>비대상</v>
          </cell>
          <cell r="H622" t="str">
            <v>보라매</v>
          </cell>
          <cell r="I622" t="str">
            <v>PRINTER</v>
          </cell>
        </row>
        <row r="623">
          <cell r="A623" t="str">
            <v>vadsvr</v>
          </cell>
          <cell r="B623" t="str">
            <v>UX-CPU-HP-00013</v>
          </cell>
          <cell r="C623" t="str">
            <v>N</v>
          </cell>
          <cell r="D623" t="str">
            <v>비대상</v>
          </cell>
          <cell r="H623" t="str">
            <v>보라매</v>
          </cell>
          <cell r="I623" t="str">
            <v>VAD (Voice Activate Dialing)</v>
          </cell>
        </row>
        <row r="624">
          <cell r="A624" t="str">
            <v>k580</v>
          </cell>
          <cell r="B624" t="str">
            <v>UX-CPU-HP-00058</v>
          </cell>
          <cell r="C624" t="str">
            <v>N</v>
          </cell>
          <cell r="D624" t="str">
            <v>비대상</v>
          </cell>
          <cell r="H624" t="str">
            <v>보라매</v>
          </cell>
          <cell r="I624" t="str">
            <v>MIS DEV (MIS Test용)</v>
          </cell>
        </row>
        <row r="625">
          <cell r="A625" t="str">
            <v>esm</v>
          </cell>
          <cell r="B625" t="str">
            <v>UX-CPU-HP-00097</v>
          </cell>
          <cell r="C625" t="str">
            <v>N</v>
          </cell>
          <cell r="D625" t="str">
            <v>비대상</v>
          </cell>
          <cell r="H625" t="str">
            <v>보라매</v>
          </cell>
          <cell r="I625" t="str">
            <v>ESM</v>
          </cell>
        </row>
        <row r="626">
          <cell r="A626" t="str">
            <v>telet1</v>
          </cell>
          <cell r="B626" t="str">
            <v>UX-CPU-HP-00130</v>
          </cell>
          <cell r="C626" t="str">
            <v>N</v>
          </cell>
          <cell r="D626" t="str">
            <v>비대상</v>
          </cell>
          <cell r="H626" t="str">
            <v>구로</v>
          </cell>
          <cell r="I626" t="str">
            <v>수도권 통화 품질 서버</v>
          </cell>
        </row>
        <row r="627">
          <cell r="A627" t="str">
            <v>eMailDB1</v>
          </cell>
          <cell r="B627" t="str">
            <v>UX-CPU-HP-00138</v>
          </cell>
          <cell r="C627" t="str">
            <v>N</v>
          </cell>
          <cell r="D627" t="str">
            <v>비대상</v>
          </cell>
          <cell r="H627" t="str">
            <v>보라매</v>
          </cell>
          <cell r="I627" t="str">
            <v>E-Mail Marketing DB Server</v>
          </cell>
        </row>
        <row r="628">
          <cell r="A628" t="str">
            <v>spcws</v>
          </cell>
          <cell r="B628" t="str">
            <v>UX-CPU-RS6000-00002</v>
          </cell>
          <cell r="C628" t="str">
            <v>N</v>
          </cell>
          <cell r="D628" t="str">
            <v>비대상</v>
          </cell>
          <cell r="H628" t="str">
            <v>보라매</v>
          </cell>
          <cell r="I628" t="str">
            <v>SPCWS</v>
          </cell>
        </row>
        <row r="629">
          <cell r="A629" t="str">
            <v>sptb13</v>
          </cell>
          <cell r="B629" t="str">
            <v>UX-CPU-RS6000-00006</v>
          </cell>
          <cell r="C629" t="str">
            <v>N</v>
          </cell>
          <cell r="D629" t="str">
            <v>비대상</v>
          </cell>
          <cell r="H629" t="str">
            <v>보라매</v>
          </cell>
          <cell r="I629" t="str">
            <v>개발서버 (COIS 개발용)</v>
          </cell>
        </row>
        <row r="630">
          <cell r="A630" t="str">
            <v>sam1</v>
          </cell>
          <cell r="B630" t="str">
            <v>UX-CPU-RS6000-00007</v>
          </cell>
          <cell r="C630" t="str">
            <v>N</v>
          </cell>
          <cell r="D630" t="str">
            <v>비대상</v>
          </cell>
          <cell r="H630" t="str">
            <v>보라매</v>
          </cell>
          <cell r="I630" t="str">
            <v>미사용</v>
          </cell>
        </row>
        <row r="631">
          <cell r="A631" t="str">
            <v>sam2</v>
          </cell>
          <cell r="B631" t="str">
            <v>UX-CPU-RS6000-00008</v>
          </cell>
          <cell r="C631" t="str">
            <v>N</v>
          </cell>
          <cell r="D631" t="str">
            <v>비대상</v>
          </cell>
          <cell r="H631" t="str">
            <v>서울,서린빌딩</v>
          </cell>
          <cell r="I631" t="str">
            <v>미사용</v>
          </cell>
        </row>
        <row r="632">
          <cell r="A632" t="str">
            <v>sam3</v>
          </cell>
          <cell r="B632" t="str">
            <v>UX-CPU-RS6000-00009</v>
          </cell>
          <cell r="C632" t="str">
            <v>N</v>
          </cell>
          <cell r="D632" t="str">
            <v>비대상</v>
          </cell>
          <cell r="H632" t="str">
            <v>보라매</v>
          </cell>
          <cell r="I632" t="str">
            <v>미사용</v>
          </cell>
        </row>
        <row r="633">
          <cell r="A633" t="str">
            <v>sam4</v>
          </cell>
          <cell r="B633" t="str">
            <v>UX-CPU-RS6000-00010</v>
          </cell>
          <cell r="C633" t="str">
            <v>N</v>
          </cell>
          <cell r="D633" t="str">
            <v>비대상</v>
          </cell>
          <cell r="H633" t="str">
            <v>보라매</v>
          </cell>
          <cell r="I633" t="str">
            <v>미사용</v>
          </cell>
        </row>
        <row r="634">
          <cell r="A634" t="str">
            <v>spcws</v>
          </cell>
          <cell r="B634" t="str">
            <v>UX-CPU-RS6000-00057</v>
          </cell>
          <cell r="C634" t="str">
            <v>N</v>
          </cell>
          <cell r="D634" t="str">
            <v>비대상</v>
          </cell>
          <cell r="H634" t="str">
            <v>대전,연구동</v>
          </cell>
          <cell r="I634" t="str">
            <v>spedi1관리</v>
          </cell>
        </row>
        <row r="635">
          <cell r="A635" t="str">
            <v>sktivrmain</v>
          </cell>
          <cell r="B635" t="str">
            <v>UX-CPU-RS6000-00135</v>
          </cell>
          <cell r="C635" t="str">
            <v>N</v>
          </cell>
          <cell r="D635" t="str">
            <v>비대상</v>
          </cell>
          <cell r="H635" t="str">
            <v>대전,연구동</v>
          </cell>
          <cell r="I635" t="str">
            <v>ARS IVR 통신서버 Main</v>
          </cell>
        </row>
        <row r="636">
          <cell r="A636" t="str">
            <v>sktivrback</v>
          </cell>
          <cell r="B636" t="str">
            <v>UX-CPU-RS6000-00136</v>
          </cell>
          <cell r="C636" t="str">
            <v>N</v>
          </cell>
          <cell r="D636" t="str">
            <v>비대상</v>
          </cell>
          <cell r="H636" t="str">
            <v>대전,연구동</v>
          </cell>
          <cell r="I636" t="str">
            <v>ARS IVR 통신서버 Backup</v>
          </cell>
        </row>
        <row r="637">
          <cell r="A637" t="str">
            <v>commandpost</v>
          </cell>
          <cell r="B637" t="str">
            <v>UX-CPU-SUN-00001</v>
          </cell>
          <cell r="C637" t="str">
            <v>N</v>
          </cell>
          <cell r="D637" t="str">
            <v>비대상</v>
          </cell>
          <cell r="H637" t="str">
            <v>보라매</v>
          </cell>
          <cell r="I637" t="str">
            <v>A동 OP room</v>
          </cell>
        </row>
        <row r="638">
          <cell r="A638" t="str">
            <v>commandpost</v>
          </cell>
          <cell r="B638" t="str">
            <v>UX-CPU-SUN-00002</v>
          </cell>
          <cell r="C638" t="str">
            <v>N</v>
          </cell>
          <cell r="D638" t="str">
            <v>비대상</v>
          </cell>
          <cell r="H638" t="str">
            <v>보라매</v>
          </cell>
        </row>
        <row r="639">
          <cell r="A639" t="str">
            <v>확인불가</v>
          </cell>
          <cell r="B639" t="str">
            <v>UX-CPU-SUN-00003</v>
          </cell>
          <cell r="C639" t="str">
            <v>N</v>
          </cell>
          <cell r="D639" t="str">
            <v>비대상</v>
          </cell>
          <cell r="H639" t="str">
            <v>보라매</v>
          </cell>
        </row>
        <row r="640">
          <cell r="A640" t="str">
            <v>확인불가</v>
          </cell>
          <cell r="B640" t="str">
            <v>UX-CPU-SUN-00004</v>
          </cell>
          <cell r="C640" t="str">
            <v>N</v>
          </cell>
          <cell r="D640" t="str">
            <v>비대상</v>
          </cell>
          <cell r="H640" t="str">
            <v>보라매</v>
          </cell>
        </row>
        <row r="641">
          <cell r="A641" t="str">
            <v>www</v>
          </cell>
          <cell r="B641" t="str">
            <v>UX-CPU-SUN-00007</v>
          </cell>
          <cell r="C641" t="str">
            <v>N</v>
          </cell>
          <cell r="D641" t="str">
            <v>비대상</v>
          </cell>
          <cell r="H641" t="str">
            <v>보라매</v>
          </cell>
          <cell r="I641" t="str">
            <v>WWW</v>
          </cell>
        </row>
        <row r="642">
          <cell r="A642" t="str">
            <v>dbm04</v>
          </cell>
          <cell r="B642" t="str">
            <v>UX-CPU-SUN-00020</v>
          </cell>
          <cell r="C642" t="str">
            <v>N</v>
          </cell>
          <cell r="D642" t="str">
            <v>비대상</v>
          </cell>
          <cell r="H642" t="str">
            <v>대전,행정동</v>
          </cell>
          <cell r="I642" t="str">
            <v>SDS</v>
          </cell>
        </row>
        <row r="643">
          <cell r="A643" t="str">
            <v>websearch</v>
          </cell>
          <cell r="B643" t="str">
            <v>UX-CPU-SUN-00035</v>
          </cell>
          <cell r="C643" t="str">
            <v>N</v>
          </cell>
          <cell r="D643" t="str">
            <v>비대상</v>
          </cell>
          <cell r="H643" t="str">
            <v>보라매</v>
          </cell>
          <cell r="I643" t="str">
            <v>WEB_SEARCH (Homepage 검색엔진)</v>
          </cell>
        </row>
        <row r="644">
          <cell r="A644" t="str">
            <v>web_dev</v>
          </cell>
          <cell r="B644" t="str">
            <v>UX-CPU-SUN-00036</v>
          </cell>
          <cell r="C644" t="str">
            <v>N</v>
          </cell>
          <cell r="D644" t="str">
            <v>비대상</v>
          </cell>
          <cell r="H644" t="str">
            <v>보라매</v>
          </cell>
          <cell r="I644" t="str">
            <v>WEB_DEV (web 서버 개발용)</v>
          </cell>
        </row>
        <row r="645">
          <cell r="A645" t="str">
            <v>sktfw1</v>
          </cell>
          <cell r="B645" t="str">
            <v>UX-CPU-SUN-00049</v>
          </cell>
          <cell r="C645" t="str">
            <v>N</v>
          </cell>
          <cell r="D645" t="str">
            <v>비대상</v>
          </cell>
          <cell r="H645" t="str">
            <v>보라매</v>
          </cell>
          <cell r="I645" t="str">
            <v>sktfw1 (Firewall1)</v>
          </cell>
        </row>
        <row r="646">
          <cell r="A646" t="str">
            <v>sktfw2</v>
          </cell>
          <cell r="B646" t="str">
            <v>UX-CPU-SUN-00050</v>
          </cell>
          <cell r="C646" t="str">
            <v>N</v>
          </cell>
          <cell r="D646" t="str">
            <v>비대상</v>
          </cell>
          <cell r="H646" t="str">
            <v>보라매</v>
          </cell>
          <cell r="I646" t="str">
            <v>sktfw2 (Firewall2)</v>
          </cell>
        </row>
        <row r="647">
          <cell r="A647" t="str">
            <v>sktca</v>
          </cell>
          <cell r="B647" t="str">
            <v>UX-CPU-SUN-00051</v>
          </cell>
          <cell r="C647" t="str">
            <v>N</v>
          </cell>
          <cell r="D647" t="str">
            <v>비대상</v>
          </cell>
          <cell r="H647" t="str">
            <v>보라매</v>
          </cell>
          <cell r="I647" t="str">
            <v>SKTCA, 고객인증</v>
          </cell>
        </row>
        <row r="648">
          <cell r="A648" t="str">
            <v>sktfw4</v>
          </cell>
          <cell r="B648" t="str">
            <v>UX-CPU-SUN-00063</v>
          </cell>
          <cell r="C648" t="str">
            <v>N</v>
          </cell>
          <cell r="D648" t="str">
            <v>비대상</v>
          </cell>
          <cell r="H648" t="str">
            <v>보라매</v>
          </cell>
          <cell r="I648" t="str">
            <v>sktfw4 (Firewall4)</v>
          </cell>
        </row>
        <row r="649">
          <cell r="A649" t="str">
            <v>sktfw5</v>
          </cell>
          <cell r="B649" t="str">
            <v>UX-CPU-SUN-00064</v>
          </cell>
          <cell r="C649" t="str">
            <v>N</v>
          </cell>
          <cell r="D649" t="str">
            <v>비대상</v>
          </cell>
          <cell r="H649" t="str">
            <v>보라매</v>
          </cell>
          <cell r="I649" t="str">
            <v>sktfw5 (Firewall5)</v>
          </cell>
        </row>
        <row r="650">
          <cell r="A650" t="str">
            <v>sktfw6</v>
          </cell>
          <cell r="B650" t="str">
            <v>UX-CPU-SUN-00065</v>
          </cell>
          <cell r="C650" t="str">
            <v>N</v>
          </cell>
          <cell r="D650" t="str">
            <v>비대상</v>
          </cell>
          <cell r="H650" t="str">
            <v>보라매</v>
          </cell>
          <cell r="I650" t="str">
            <v>sktfw6 (Firewall6)</v>
          </cell>
        </row>
        <row r="651">
          <cell r="A651" t="str">
            <v>sktfw7</v>
          </cell>
          <cell r="B651" t="str">
            <v>UX-CPU-SUN-00066</v>
          </cell>
          <cell r="C651" t="str">
            <v>N</v>
          </cell>
          <cell r="D651" t="str">
            <v>비대상</v>
          </cell>
          <cell r="H651" t="str">
            <v>보라매</v>
          </cell>
          <cell r="I651" t="str">
            <v>sktfw7 (Firewall7)</v>
          </cell>
        </row>
        <row r="652">
          <cell r="A652" t="str">
            <v>sktfw8</v>
          </cell>
          <cell r="B652" t="str">
            <v>UX-CPU-SUN-00067</v>
          </cell>
          <cell r="C652" t="str">
            <v>N</v>
          </cell>
          <cell r="D652" t="str">
            <v>비대상</v>
          </cell>
          <cell r="H652" t="str">
            <v>보라매</v>
          </cell>
          <cell r="I652" t="str">
            <v>sktfw8 (Firewall8)</v>
          </cell>
        </row>
        <row r="653">
          <cell r="A653" t="str">
            <v>sktfwlog</v>
          </cell>
          <cell r="B653" t="str">
            <v>UX-CPU-SUN-00068</v>
          </cell>
          <cell r="C653" t="str">
            <v>N</v>
          </cell>
          <cell r="D653" t="str">
            <v>비대상</v>
          </cell>
          <cell r="H653" t="str">
            <v>보라매</v>
          </cell>
          <cell r="I653" t="str">
            <v>Firewall Log Gathering</v>
          </cell>
        </row>
        <row r="654">
          <cell r="A654" t="str">
            <v>sktcache1</v>
          </cell>
          <cell r="B654" t="str">
            <v>UX-CPU-SUN-00069</v>
          </cell>
          <cell r="C654" t="str">
            <v>N</v>
          </cell>
          <cell r="D654" t="str">
            <v>비대상</v>
          </cell>
          <cell r="H654" t="str">
            <v>보라매</v>
          </cell>
          <cell r="I654" t="str">
            <v>Cache Server</v>
          </cell>
        </row>
        <row r="655">
          <cell r="A655" t="str">
            <v>sktcache2</v>
          </cell>
          <cell r="B655" t="str">
            <v>UX-CPU-SUN-00070</v>
          </cell>
          <cell r="C655" t="str">
            <v>N</v>
          </cell>
          <cell r="D655" t="str">
            <v>비대상</v>
          </cell>
          <cell r="H655" t="str">
            <v>보라매</v>
          </cell>
          <cell r="I655" t="str">
            <v>Cache Server</v>
          </cell>
        </row>
        <row r="656">
          <cell r="A656" t="str">
            <v>sktca2</v>
          </cell>
          <cell r="B656" t="str">
            <v>UX-CPU-SUN-00071</v>
          </cell>
          <cell r="C656" t="str">
            <v>N</v>
          </cell>
          <cell r="D656" t="str">
            <v>비대상</v>
          </cell>
          <cell r="H656" t="str">
            <v>보라매</v>
          </cell>
          <cell r="I656" t="str">
            <v>사내인증서버</v>
          </cell>
        </row>
        <row r="657">
          <cell r="A657" t="str">
            <v>mmdb</v>
          </cell>
          <cell r="B657" t="str">
            <v>UX-CPU-SUN-00072</v>
          </cell>
          <cell r="C657" t="str">
            <v>N</v>
          </cell>
          <cell r="D657" t="str">
            <v>비대상</v>
          </cell>
          <cell r="H657" t="str">
            <v>보라매</v>
          </cell>
          <cell r="I657" t="str">
            <v>MMDB Server</v>
          </cell>
        </row>
        <row r="658">
          <cell r="A658" t="str">
            <v>MailMKT</v>
          </cell>
          <cell r="B658" t="str">
            <v>UX-CPU-SUN-00087</v>
          </cell>
          <cell r="C658" t="str">
            <v>N</v>
          </cell>
          <cell r="D658" t="str">
            <v>비대상</v>
          </cell>
          <cell r="H658" t="str">
            <v>보라매</v>
          </cell>
          <cell r="I658" t="str">
            <v>E-Mail Marketing Server</v>
          </cell>
        </row>
        <row r="659">
          <cell r="A659" t="str">
            <v>Tagent</v>
          </cell>
          <cell r="B659" t="str">
            <v>UX-CPU-SUN-00088</v>
          </cell>
          <cell r="C659" t="str">
            <v>N</v>
          </cell>
          <cell r="D659" t="str">
            <v>비대상</v>
          </cell>
          <cell r="H659" t="str">
            <v>보라매</v>
          </cell>
          <cell r="I659" t="str">
            <v>Tracking Agent Server</v>
          </cell>
        </row>
        <row r="660">
          <cell r="A660" t="str">
            <v>WebBK</v>
          </cell>
          <cell r="B660" t="str">
            <v>UX-CPU-SUN-00098</v>
          </cell>
          <cell r="C660" t="str">
            <v>N</v>
          </cell>
          <cell r="D660" t="str">
            <v>비대상</v>
          </cell>
          <cell r="H660" t="str">
            <v>보라매</v>
          </cell>
          <cell r="I660" t="str">
            <v>Web Backup Master Server</v>
          </cell>
        </row>
        <row r="661">
          <cell r="A661" t="str">
            <v>bill</v>
          </cell>
          <cell r="B661" t="str">
            <v>UX-CPU-SUN-00111</v>
          </cell>
          <cell r="C661" t="str">
            <v>N</v>
          </cell>
          <cell r="D661" t="str">
            <v>비대상</v>
          </cell>
          <cell r="H661" t="str">
            <v>분당 IDC</v>
          </cell>
          <cell r="I661" t="str">
            <v xml:space="preserve">Mobiya Billing </v>
          </cell>
        </row>
        <row r="662">
          <cell r="A662" t="str">
            <v>gather</v>
          </cell>
          <cell r="B662" t="str">
            <v>UX-CPU-SUN-00112</v>
          </cell>
          <cell r="C662" t="str">
            <v>N</v>
          </cell>
          <cell r="D662" t="str">
            <v>비대상</v>
          </cell>
          <cell r="H662" t="str">
            <v>분당 IDC</v>
          </cell>
          <cell r="I662" t="str">
            <v>Mobiya Gathering</v>
          </cell>
        </row>
        <row r="663">
          <cell r="A663" t="str">
            <v>Cmadmin</v>
          </cell>
          <cell r="B663" t="str">
            <v>UX-CPU-SUN-00115</v>
          </cell>
          <cell r="C663" t="str">
            <v>N</v>
          </cell>
          <cell r="D663" t="str">
            <v>비대상</v>
          </cell>
          <cell r="H663" t="str">
            <v>보라매</v>
          </cell>
          <cell r="I663" t="str">
            <v>011e-station</v>
          </cell>
        </row>
        <row r="664">
          <cell r="A664" t="str">
            <v>DOWAS1</v>
          </cell>
          <cell r="B664" t="str">
            <v>UX-CPU-SUN-00132</v>
          </cell>
          <cell r="C664" t="str">
            <v>N</v>
          </cell>
          <cell r="D664" t="str">
            <v>비대상</v>
          </cell>
          <cell r="H664" t="str">
            <v>보라매</v>
          </cell>
          <cell r="I664" t="str">
            <v>DOWAS Server</v>
          </cell>
        </row>
        <row r="665">
          <cell r="A665" t="str">
            <v>r38deekr</v>
          </cell>
          <cell r="B665" t="str">
            <v>UX-CPU-SUN-00135</v>
          </cell>
          <cell r="C665" t="str">
            <v>N</v>
          </cell>
          <cell r="D665" t="str">
            <v>비대상</v>
          </cell>
          <cell r="H665" t="str">
            <v>대구</v>
          </cell>
          <cell r="I665" t="str">
            <v>교환기 CALL 통계</v>
          </cell>
        </row>
        <row r="666">
          <cell r="A666" t="str">
            <v>eMail3</v>
          </cell>
          <cell r="B666" t="str">
            <v>UX-CPU-SUN-00136</v>
          </cell>
          <cell r="C666" t="str">
            <v>N</v>
          </cell>
          <cell r="D666" t="str">
            <v>비대상</v>
          </cell>
          <cell r="H666" t="str">
            <v>보라매</v>
          </cell>
          <cell r="I666" t="str">
            <v>E-Mail Marketing Server</v>
          </cell>
        </row>
        <row r="667">
          <cell r="A667" t="str">
            <v>없음</v>
          </cell>
          <cell r="B667" t="str">
            <v>UX-SAN-EMC-00001</v>
          </cell>
          <cell r="C667" t="str">
            <v>N</v>
          </cell>
          <cell r="D667" t="str">
            <v>비대상</v>
          </cell>
          <cell r="H667" t="str">
            <v>보라매</v>
          </cell>
          <cell r="I667" t="str">
            <v>Telecom SAN</v>
          </cell>
        </row>
        <row r="668">
          <cell r="A668" t="str">
            <v>없음</v>
          </cell>
          <cell r="B668" t="str">
            <v>UX-SAN-HP-00001</v>
          </cell>
          <cell r="C668" t="str">
            <v>N</v>
          </cell>
          <cell r="D668" t="str">
            <v>비대상</v>
          </cell>
          <cell r="H668" t="str">
            <v>보라매</v>
          </cell>
          <cell r="I668" t="str">
            <v>Telecom SAN</v>
          </cell>
        </row>
        <row r="669">
          <cell r="A669" t="str">
            <v>없음</v>
          </cell>
          <cell r="B669" t="str">
            <v>UX-SAN-HP-00002</v>
          </cell>
          <cell r="C669" t="str">
            <v>N</v>
          </cell>
          <cell r="D669" t="str">
            <v>비대상</v>
          </cell>
          <cell r="H669" t="str">
            <v>보라매</v>
          </cell>
          <cell r="I669" t="str">
            <v>Telecom SAN</v>
          </cell>
        </row>
        <row r="670">
          <cell r="A670" t="str">
            <v>없음</v>
          </cell>
          <cell r="B670" t="str">
            <v>UX-SAN-HP-00003</v>
          </cell>
          <cell r="C670" t="str">
            <v>N</v>
          </cell>
          <cell r="D670" t="str">
            <v>비대상</v>
          </cell>
          <cell r="H670" t="str">
            <v>대덕 연구동</v>
          </cell>
          <cell r="I670" t="str">
            <v>eDBM External Disk</v>
          </cell>
        </row>
        <row r="671">
          <cell r="A671" t="str">
            <v>vadsvr</v>
          </cell>
          <cell r="B671" t="str">
            <v>UX-CPU-RS6000-00208</v>
          </cell>
          <cell r="C671" t="str">
            <v>N</v>
          </cell>
          <cell r="D671" t="str">
            <v>비대상</v>
          </cell>
          <cell r="H671" t="str">
            <v>보라매</v>
          </cell>
          <cell r="I671" t="str">
            <v>VAD (Voice Activate Dialing)</v>
          </cell>
        </row>
        <row r="672">
          <cell r="A672" t="str">
            <v>smst</v>
          </cell>
          <cell r="B672" t="str">
            <v>UX-CPU-RS6000-00087</v>
          </cell>
          <cell r="C672" t="str">
            <v>N</v>
          </cell>
          <cell r="D672" t="str">
            <v>비대상</v>
          </cell>
          <cell r="H672" t="str">
            <v>보라매</v>
          </cell>
          <cell r="I672" t="str">
            <v>Tivoli Server</v>
          </cell>
        </row>
        <row r="673">
          <cell r="A673" t="str">
            <v>csbsftp1</v>
          </cell>
          <cell r="B673" t="str">
            <v>UX-CPU-RS6000-00172</v>
          </cell>
          <cell r="C673" t="str">
            <v>N</v>
          </cell>
          <cell r="D673" t="str">
            <v>비대상</v>
          </cell>
          <cell r="H673" t="str">
            <v>보라매</v>
          </cell>
          <cell r="I673" t="str">
            <v>ftp server</v>
          </cell>
        </row>
        <row r="674">
          <cell r="A674" t="str">
            <v>csbsftp2</v>
          </cell>
          <cell r="B674" t="str">
            <v>UX-CPU-RS6000-00173</v>
          </cell>
          <cell r="C674" t="str">
            <v>N</v>
          </cell>
          <cell r="D674" t="str">
            <v>비대상</v>
          </cell>
          <cell r="H674" t="str">
            <v>대덕DC</v>
          </cell>
          <cell r="I674" t="str">
            <v>ftp server</v>
          </cell>
        </row>
        <row r="675">
          <cell r="A675" t="str">
            <v>csbsftp3</v>
          </cell>
          <cell r="B675" t="str">
            <v>UX-CPU-RS6000-00174</v>
          </cell>
          <cell r="C675" t="str">
            <v>N</v>
          </cell>
          <cell r="D675" t="str">
            <v>비대상</v>
          </cell>
          <cell r="H675" t="str">
            <v>원주</v>
          </cell>
          <cell r="I675" t="str">
            <v>ftp server</v>
          </cell>
        </row>
        <row r="676">
          <cell r="A676" t="str">
            <v>csbsftp4</v>
          </cell>
          <cell r="B676" t="str">
            <v>UX-CPU-RS6000-00175</v>
          </cell>
          <cell r="C676" t="str">
            <v>N</v>
          </cell>
          <cell r="D676" t="str">
            <v>비대상</v>
          </cell>
          <cell r="H676" t="str">
            <v>전주</v>
          </cell>
          <cell r="I676" t="str">
            <v>ftp server</v>
          </cell>
        </row>
        <row r="677">
          <cell r="A677" t="str">
            <v>csbsftp5</v>
          </cell>
          <cell r="B677" t="str">
            <v>UX-CPU-RS6000-00176</v>
          </cell>
          <cell r="C677" t="str">
            <v>N</v>
          </cell>
          <cell r="D677" t="str">
            <v>비대상</v>
          </cell>
          <cell r="H677" t="str">
            <v>청주</v>
          </cell>
          <cell r="I677" t="str">
            <v>ftp server</v>
          </cell>
        </row>
        <row r="678">
          <cell r="A678" t="str">
            <v>csbsftp6</v>
          </cell>
          <cell r="B678" t="str">
            <v>UX-CPU-RS6000-00177</v>
          </cell>
          <cell r="C678" t="str">
            <v>N</v>
          </cell>
          <cell r="D678" t="str">
            <v>비대상</v>
          </cell>
          <cell r="H678" t="str">
            <v>광주</v>
          </cell>
          <cell r="I678" t="str">
            <v>ftp server</v>
          </cell>
        </row>
        <row r="679">
          <cell r="A679" t="str">
            <v>csbsftp7</v>
          </cell>
          <cell r="B679" t="str">
            <v>UX-CPU-RS6000-00178</v>
          </cell>
          <cell r="C679" t="str">
            <v>N</v>
          </cell>
          <cell r="D679" t="str">
            <v>비대상</v>
          </cell>
          <cell r="H679" t="str">
            <v>부산</v>
          </cell>
          <cell r="I679" t="str">
            <v>ftp server</v>
          </cell>
        </row>
        <row r="680">
          <cell r="A680" t="str">
            <v>csbsftp8</v>
          </cell>
          <cell r="B680" t="str">
            <v>UX-CPU-RS6000-00179</v>
          </cell>
          <cell r="C680" t="str">
            <v>N</v>
          </cell>
          <cell r="D680" t="str">
            <v>비대상</v>
          </cell>
          <cell r="H680" t="str">
            <v>대구</v>
          </cell>
          <cell r="I680" t="str">
            <v>ftp server</v>
          </cell>
        </row>
        <row r="681">
          <cell r="A681" t="str">
            <v>imsi_3</v>
          </cell>
          <cell r="B681" t="str">
            <v>UX-CPU-RS6000-00199</v>
          </cell>
          <cell r="C681" t="str">
            <v>N</v>
          </cell>
          <cell r="D681" t="str">
            <v>비대상</v>
          </cell>
          <cell r="H681" t="str">
            <v>대덕DC</v>
          </cell>
        </row>
        <row r="682">
          <cell r="A682" t="str">
            <v>SKTRM</v>
          </cell>
          <cell r="B682" t="str">
            <v>UX-CPU-RS6000-00200</v>
          </cell>
          <cell r="C682" t="str">
            <v>N</v>
          </cell>
          <cell r="D682" t="str">
            <v>비대상</v>
          </cell>
          <cell r="H682" t="str">
            <v>보라매</v>
          </cell>
          <cell r="I682" t="str">
            <v>통합 보안 RM Server</v>
          </cell>
        </row>
        <row r="683">
          <cell r="A683" t="str">
            <v>SKTFW11</v>
          </cell>
          <cell r="B683" t="str">
            <v>UX-CPU-SUN-00142</v>
          </cell>
          <cell r="C683" t="str">
            <v>N</v>
          </cell>
          <cell r="D683" t="str">
            <v>비대상</v>
          </cell>
          <cell r="H683" t="str">
            <v>보라매</v>
          </cell>
          <cell r="I683" t="str">
            <v>Firewall</v>
          </cell>
        </row>
        <row r="684">
          <cell r="A684" t="str">
            <v>SKTFW12</v>
          </cell>
          <cell r="B684" t="str">
            <v>UX-CPU-SUN-00143</v>
          </cell>
          <cell r="C684" t="str">
            <v>N</v>
          </cell>
          <cell r="D684" t="str">
            <v>비대상</v>
          </cell>
          <cell r="H684" t="str">
            <v>보라매</v>
          </cell>
          <cell r="I684" t="str">
            <v>Firewall</v>
          </cell>
        </row>
        <row r="685">
          <cell r="A685" t="str">
            <v>SKTDNS1</v>
          </cell>
          <cell r="B685" t="str">
            <v>UX-CPU-SUN-00144</v>
          </cell>
          <cell r="C685" t="str">
            <v>N</v>
          </cell>
          <cell r="D685" t="str">
            <v>비대상</v>
          </cell>
          <cell r="H685" t="str">
            <v>보라매</v>
          </cell>
          <cell r="I685" t="str">
            <v>DNS</v>
          </cell>
        </row>
        <row r="686">
          <cell r="A686" t="str">
            <v>SKTDNS2</v>
          </cell>
          <cell r="B686" t="str">
            <v>UX-CPU-SUN-00145</v>
          </cell>
          <cell r="C686" t="str">
            <v>N</v>
          </cell>
          <cell r="D686" t="str">
            <v>비대상</v>
          </cell>
          <cell r="H686" t="str">
            <v>보라매</v>
          </cell>
          <cell r="I686" t="str">
            <v>DNS</v>
          </cell>
        </row>
      </sheetData>
      <sheetData sheetId="9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비고</v>
          </cell>
          <cell r="F1" t="str">
            <v>Function</v>
          </cell>
          <cell r="G1" t="str">
            <v>Sub-Function</v>
          </cell>
          <cell r="H1" t="str">
            <v>Platform</v>
          </cell>
          <cell r="I1" t="str">
            <v>Location</v>
          </cell>
          <cell r="J1" t="str">
            <v>적용업무1</v>
          </cell>
        </row>
        <row r="2">
          <cell r="E2" t="str">
            <v>Application명</v>
          </cell>
        </row>
        <row r="3">
          <cell r="A3" t="str">
            <v>MISDEV</v>
          </cell>
          <cell r="B3" t="str">
            <v>UX-CPU-ALPHA-00001</v>
          </cell>
          <cell r="C3" t="str">
            <v>Y</v>
          </cell>
          <cell r="D3" t="str">
            <v>B</v>
          </cell>
          <cell r="E3" t="str">
            <v>구매</v>
          </cell>
          <cell r="I3" t="str">
            <v>대덕CDC</v>
          </cell>
          <cell r="J3" t="str">
            <v>MIS</v>
          </cell>
        </row>
        <row r="4">
          <cell r="A4" t="str">
            <v>MISDEV</v>
          </cell>
          <cell r="B4" t="str">
            <v>UX-CPU-ALPHA-00001</v>
          </cell>
          <cell r="C4" t="str">
            <v>Y</v>
          </cell>
          <cell r="D4" t="str">
            <v>A</v>
          </cell>
          <cell r="E4" t="str">
            <v>마케팅</v>
          </cell>
          <cell r="I4" t="str">
            <v>대덕CDC</v>
          </cell>
          <cell r="J4" t="str">
            <v>MIS</v>
          </cell>
        </row>
        <row r="5">
          <cell r="A5" t="str">
            <v>MISDEV</v>
          </cell>
          <cell r="B5" t="str">
            <v>UX-CPU-ALPHA-00001</v>
          </cell>
          <cell r="C5" t="str">
            <v>Y</v>
          </cell>
          <cell r="D5" t="str">
            <v>B</v>
          </cell>
          <cell r="E5" t="str">
            <v>인력</v>
          </cell>
          <cell r="I5" t="str">
            <v>대덕CDC</v>
          </cell>
          <cell r="J5" t="str">
            <v>MIS</v>
          </cell>
        </row>
        <row r="6">
          <cell r="A6" t="str">
            <v>MISDEV</v>
          </cell>
          <cell r="B6" t="str">
            <v>UX-CPU-ALPHA-00001</v>
          </cell>
          <cell r="C6" t="str">
            <v>Y</v>
          </cell>
          <cell r="D6" t="str">
            <v>A</v>
          </cell>
          <cell r="E6" t="str">
            <v>자금</v>
          </cell>
          <cell r="I6" t="str">
            <v>대덕CDC</v>
          </cell>
          <cell r="J6" t="str">
            <v>MIS</v>
          </cell>
        </row>
        <row r="7">
          <cell r="A7" t="str">
            <v>MISDEV</v>
          </cell>
          <cell r="B7" t="str">
            <v>UX-CPU-ALPHA-00001</v>
          </cell>
          <cell r="C7" t="str">
            <v>Y</v>
          </cell>
          <cell r="D7" t="str">
            <v>A</v>
          </cell>
          <cell r="E7" t="str">
            <v>일반회계</v>
          </cell>
          <cell r="I7" t="str">
            <v>대덕CDC</v>
          </cell>
          <cell r="J7" t="str">
            <v>MIS</v>
          </cell>
        </row>
        <row r="8">
          <cell r="A8" t="str">
            <v>MISDEV</v>
          </cell>
          <cell r="B8" t="str">
            <v>UX-CPU-ALPHA-00001</v>
          </cell>
          <cell r="C8" t="str">
            <v>Y</v>
          </cell>
          <cell r="D8" t="str">
            <v>A</v>
          </cell>
          <cell r="E8" t="str">
            <v>원가회계</v>
          </cell>
          <cell r="I8" t="str">
            <v>대덕CDC</v>
          </cell>
          <cell r="J8" t="str">
            <v>MIS</v>
          </cell>
        </row>
        <row r="9">
          <cell r="A9" t="str">
            <v>MISDEV</v>
          </cell>
          <cell r="B9" t="str">
            <v>UX-CPU-ALPHA-00001</v>
          </cell>
          <cell r="C9" t="str">
            <v>Y</v>
          </cell>
          <cell r="D9" t="str">
            <v>B</v>
          </cell>
          <cell r="E9" t="str">
            <v>직물생산</v>
          </cell>
          <cell r="I9" t="str">
            <v>대덕CDC</v>
          </cell>
          <cell r="J9" t="str">
            <v>MIS</v>
          </cell>
        </row>
        <row r="10">
          <cell r="A10" t="str">
            <v>JIKMUL_NT</v>
          </cell>
          <cell r="B10" t="str">
            <v>NT-CPU-COMPAQ-00230</v>
          </cell>
          <cell r="C10" t="str">
            <v>Y</v>
          </cell>
          <cell r="D10" t="str">
            <v>B</v>
          </cell>
          <cell r="E10" t="str">
            <v>직물출하</v>
          </cell>
          <cell r="I10" t="str">
            <v>SK케미칼공장</v>
          </cell>
          <cell r="J10" t="str">
            <v>생산관리 Server</v>
          </cell>
        </row>
        <row r="11">
          <cell r="A11" t="str">
            <v>SA2000</v>
          </cell>
          <cell r="B11" t="str">
            <v>UX-CPU-ALPHA-00004</v>
          </cell>
          <cell r="C11" t="str">
            <v>Y</v>
          </cell>
          <cell r="D11" t="str">
            <v>B</v>
          </cell>
          <cell r="E11" t="str">
            <v>수원생산</v>
          </cell>
          <cell r="I11" t="str">
            <v>SK케미칼공장</v>
          </cell>
          <cell r="J11" t="str">
            <v>MIS생산관리</v>
          </cell>
        </row>
        <row r="12">
          <cell r="A12" t="str">
            <v>MISDEV</v>
          </cell>
          <cell r="B12" t="str">
            <v>UX-CPU-ALPHA-00001</v>
          </cell>
          <cell r="C12" t="str">
            <v>Y</v>
          </cell>
          <cell r="D12" t="str">
            <v>C</v>
          </cell>
          <cell r="E12" t="str">
            <v>KPI(TPO, IPO)</v>
          </cell>
          <cell r="I12" t="str">
            <v>대덕CDC</v>
          </cell>
          <cell r="J12" t="str">
            <v>MIS</v>
          </cell>
        </row>
        <row r="13">
          <cell r="A13" t="str">
            <v>MISDEV</v>
          </cell>
          <cell r="B13" t="str">
            <v>UX-CPU-ALPHA-00001</v>
          </cell>
          <cell r="C13" t="str">
            <v>Y</v>
          </cell>
          <cell r="D13" t="str">
            <v>C</v>
          </cell>
          <cell r="E13" t="str">
            <v>정보자원관리</v>
          </cell>
          <cell r="I13" t="str">
            <v>대덕CDC</v>
          </cell>
          <cell r="J13" t="str">
            <v>MIS</v>
          </cell>
        </row>
        <row r="14">
          <cell r="A14" t="str">
            <v>-</v>
          </cell>
          <cell r="B14" t="e">
            <v>#N/A</v>
          </cell>
          <cell r="C14" t="str">
            <v>Y</v>
          </cell>
          <cell r="D14" t="str">
            <v>D</v>
          </cell>
          <cell r="E14" t="str">
            <v>수원구판장</v>
          </cell>
          <cell r="I14" t="e">
            <v>#N/A</v>
          </cell>
          <cell r="J14" t="e">
            <v>#N/A</v>
          </cell>
        </row>
        <row r="15">
          <cell r="A15" t="str">
            <v>-</v>
          </cell>
          <cell r="B15" t="e">
            <v>#N/A</v>
          </cell>
          <cell r="C15" t="str">
            <v>Y</v>
          </cell>
          <cell r="D15" t="str">
            <v>D</v>
          </cell>
          <cell r="E15" t="str">
            <v>울산마을금고</v>
          </cell>
          <cell r="I15" t="e">
            <v>#N/A</v>
          </cell>
          <cell r="J15" t="e">
            <v>#N/A</v>
          </cell>
        </row>
        <row r="16">
          <cell r="A16" t="str">
            <v>SKCHEM_BOA</v>
          </cell>
          <cell r="B16" t="str">
            <v>NT-CPU-COMPAQ-00219</v>
          </cell>
          <cell r="C16" t="str">
            <v>Y</v>
          </cell>
          <cell r="D16" t="str">
            <v>B</v>
          </cell>
          <cell r="E16" t="str">
            <v>Groupware</v>
          </cell>
          <cell r="I16" t="str">
            <v>SK케미칼공장</v>
          </cell>
          <cell r="J16" t="str">
            <v>Notes,DHCP,WINS,MIS,FILE Server</v>
          </cell>
        </row>
        <row r="17">
          <cell r="A17" t="str">
            <v>SKCHEM_SOA</v>
          </cell>
          <cell r="B17" t="str">
            <v>NT-CPU-COMPAQ-00222</v>
          </cell>
          <cell r="C17" t="str">
            <v>Y</v>
          </cell>
          <cell r="D17" t="str">
            <v>B</v>
          </cell>
          <cell r="E17" t="str">
            <v>Groupware</v>
          </cell>
          <cell r="I17" t="str">
            <v>SK케미칼공장</v>
          </cell>
          <cell r="J17" t="str">
            <v>Notes,DHCP,MIS,FILE Server</v>
          </cell>
        </row>
        <row r="18">
          <cell r="A18" t="str">
            <v>SKCHEM_UOA</v>
          </cell>
          <cell r="B18" t="str">
            <v>NT-CPU-COMPAQ-00224</v>
          </cell>
          <cell r="C18" t="str">
            <v>Y</v>
          </cell>
          <cell r="D18" t="str">
            <v>B</v>
          </cell>
          <cell r="E18" t="str">
            <v>Groupware</v>
          </cell>
          <cell r="I18" t="str">
            <v>SK케미칼공장</v>
          </cell>
          <cell r="J18" t="str">
            <v>Notes,DHCP,MIS,FILE Server</v>
          </cell>
        </row>
        <row r="19">
          <cell r="A19" t="str">
            <v>SKCHEM_NT_WWW</v>
          </cell>
          <cell r="B19" t="str">
            <v>NT-CPU-COMPAQ-00220</v>
          </cell>
          <cell r="C19" t="str">
            <v>Y</v>
          </cell>
          <cell r="D19" t="str">
            <v>B</v>
          </cell>
          <cell r="E19" t="str">
            <v>Homepage</v>
          </cell>
          <cell r="I19" t="str">
            <v>SK케미칼공장</v>
          </cell>
          <cell r="J19" t="str">
            <v>WEB Server</v>
          </cell>
        </row>
        <row r="20">
          <cell r="A20" t="str">
            <v>B4600</v>
          </cell>
          <cell r="B20" t="str">
            <v>UX-CPU-VAX-00001</v>
          </cell>
          <cell r="C20" t="str">
            <v>Y</v>
          </cell>
          <cell r="D20" t="str">
            <v>C</v>
          </cell>
          <cell r="E20" t="str">
            <v>SK UCB 구매</v>
          </cell>
          <cell r="I20" t="str">
            <v>SK케미칼본사</v>
          </cell>
          <cell r="J20" t="str">
            <v>MIS(제약,UCB)</v>
          </cell>
        </row>
        <row r="21">
          <cell r="A21" t="str">
            <v>B4600</v>
          </cell>
          <cell r="B21" t="str">
            <v>UX-CPU-VAX-00001</v>
          </cell>
          <cell r="C21" t="str">
            <v>Y</v>
          </cell>
          <cell r="D21" t="str">
            <v>C</v>
          </cell>
          <cell r="E21" t="str">
            <v>SK UCB 마케팅</v>
          </cell>
          <cell r="I21" t="str">
            <v>SK케미칼본사</v>
          </cell>
          <cell r="J21" t="str">
            <v>MIS(제약,UCB)</v>
          </cell>
        </row>
        <row r="22">
          <cell r="A22" t="str">
            <v>B4600</v>
          </cell>
          <cell r="B22" t="str">
            <v>UX-CPU-VAX-00001</v>
          </cell>
          <cell r="C22" t="str">
            <v>Y</v>
          </cell>
          <cell r="D22" t="str">
            <v>C</v>
          </cell>
          <cell r="E22" t="str">
            <v>SK UCB 인력</v>
          </cell>
          <cell r="I22" t="str">
            <v>SK케미칼본사</v>
          </cell>
          <cell r="J22" t="str">
            <v>MIS(제약,UCB)</v>
          </cell>
        </row>
        <row r="23">
          <cell r="A23" t="str">
            <v>B4600</v>
          </cell>
          <cell r="B23" t="str">
            <v>UX-CPU-VAX-00001</v>
          </cell>
          <cell r="C23" t="str">
            <v>Y</v>
          </cell>
          <cell r="D23" t="str">
            <v>C</v>
          </cell>
          <cell r="E23" t="str">
            <v>SK UCB 자금</v>
          </cell>
          <cell r="I23" t="str">
            <v>SK케미칼본사</v>
          </cell>
          <cell r="J23" t="str">
            <v>MIS(제약,UCB)</v>
          </cell>
        </row>
        <row r="24">
          <cell r="A24" t="str">
            <v>B4600</v>
          </cell>
          <cell r="B24" t="str">
            <v>UX-CPU-VAX-00001</v>
          </cell>
          <cell r="C24" t="str">
            <v>Y</v>
          </cell>
          <cell r="D24" t="str">
            <v>C</v>
          </cell>
          <cell r="E24" t="str">
            <v>SK UCB 일반회계</v>
          </cell>
          <cell r="I24" t="str">
            <v>SK케미칼본사</v>
          </cell>
          <cell r="J24" t="str">
            <v>MIS(제약,UCB)</v>
          </cell>
        </row>
        <row r="25">
          <cell r="A25" t="str">
            <v>B4600</v>
          </cell>
          <cell r="B25" t="str">
            <v>UX-CPU-VAX-00001</v>
          </cell>
          <cell r="C25" t="str">
            <v>Y</v>
          </cell>
          <cell r="D25" t="str">
            <v>C</v>
          </cell>
          <cell r="E25" t="str">
            <v>SK UCB 원가회계</v>
          </cell>
          <cell r="I25" t="str">
            <v>SK케미칼본사</v>
          </cell>
          <cell r="J25" t="str">
            <v>MIS(제약,UCB)</v>
          </cell>
        </row>
        <row r="26">
          <cell r="A26" t="str">
            <v>B4600</v>
          </cell>
          <cell r="B26" t="str">
            <v>UX-CPU-VAX-00001</v>
          </cell>
          <cell r="C26" t="str">
            <v>Y</v>
          </cell>
          <cell r="D26" t="str">
            <v>B</v>
          </cell>
          <cell r="E26" t="str">
            <v>SK제약 MIS(구)</v>
          </cell>
          <cell r="I26" t="str">
            <v>SK케미칼본사</v>
          </cell>
          <cell r="J26" t="str">
            <v>MIS(제약,UCB)</v>
          </cell>
        </row>
        <row r="27">
          <cell r="A27" t="str">
            <v>MISSKP</v>
          </cell>
          <cell r="B27" t="str">
            <v>UX-CPU-ALPHA-00010</v>
          </cell>
          <cell r="C27" t="str">
            <v>Y</v>
          </cell>
          <cell r="D27" t="str">
            <v>B</v>
          </cell>
          <cell r="E27" t="str">
            <v>SK제약 MIS(신)</v>
          </cell>
          <cell r="I27" t="str">
            <v>대덕CDC</v>
          </cell>
          <cell r="J27" t="str">
            <v>SK제약 통합 MIS Server</v>
          </cell>
        </row>
        <row r="28">
          <cell r="A28" t="str">
            <v>misbon</v>
          </cell>
          <cell r="B28" t="str">
            <v>UX-CPU-ALPHA-00002</v>
          </cell>
          <cell r="C28" t="str">
            <v>N</v>
          </cell>
          <cell r="D28" t="str">
            <v>비대상</v>
          </cell>
          <cell r="I28" t="str">
            <v>대덕CDC</v>
          </cell>
          <cell r="J28" t="str">
            <v>MIS</v>
          </cell>
        </row>
        <row r="29">
          <cell r="A29" t="str">
            <v>SMLS01</v>
          </cell>
          <cell r="B29" t="str">
            <v>UX-CPU-ALPHA-00005</v>
          </cell>
          <cell r="C29" t="str">
            <v>N</v>
          </cell>
          <cell r="D29" t="str">
            <v>비대상</v>
          </cell>
          <cell r="I29" t="str">
            <v>SK케미칼기타</v>
          </cell>
          <cell r="J29" t="str">
            <v>생산관리</v>
          </cell>
        </row>
        <row r="30">
          <cell r="A30" t="str">
            <v>없음</v>
          </cell>
          <cell r="B30" t="str">
            <v>UX-CPU-ALPHA-00007</v>
          </cell>
          <cell r="C30" t="str">
            <v>N</v>
          </cell>
          <cell r="D30" t="str">
            <v>비대상</v>
          </cell>
          <cell r="I30" t="str">
            <v>SK케미칼본사</v>
          </cell>
          <cell r="J30" t="str">
            <v>유휴</v>
          </cell>
        </row>
        <row r="31">
          <cell r="A31" t="str">
            <v>없음</v>
          </cell>
          <cell r="B31" t="str">
            <v>UX-CPU-DEC-00001</v>
          </cell>
          <cell r="C31" t="str">
            <v>N</v>
          </cell>
          <cell r="D31" t="str">
            <v>비대상</v>
          </cell>
          <cell r="I31" t="str">
            <v>SK케미칼공장</v>
          </cell>
          <cell r="J31" t="str">
            <v>생산관리</v>
          </cell>
        </row>
        <row r="32">
          <cell r="A32" t="str">
            <v>chemical-fw</v>
          </cell>
          <cell r="B32" t="str">
            <v>UX-CPU-SUN-00089</v>
          </cell>
          <cell r="C32" t="str">
            <v>N</v>
          </cell>
          <cell r="D32" t="str">
            <v>비대상</v>
          </cell>
          <cell r="I32" t="str">
            <v>SK남산빌딩</v>
          </cell>
          <cell r="J32" t="str">
            <v>Firewall Server</v>
          </cell>
        </row>
        <row r="33">
          <cell r="A33" t="str">
            <v>U4600</v>
          </cell>
          <cell r="B33" t="str">
            <v>UX-CPU-VAX-00002</v>
          </cell>
          <cell r="C33" t="str">
            <v>N</v>
          </cell>
          <cell r="D33" t="str">
            <v>비대상</v>
          </cell>
          <cell r="I33" t="str">
            <v>SK케미칼공장</v>
          </cell>
          <cell r="J33" t="str">
            <v>품질관리</v>
          </cell>
        </row>
        <row r="34">
          <cell r="A34" t="str">
            <v>없음</v>
          </cell>
          <cell r="B34" t="str">
            <v>UX-CPU-VAX-00004</v>
          </cell>
          <cell r="C34" t="str">
            <v>N</v>
          </cell>
          <cell r="D34" t="str">
            <v>비대상</v>
          </cell>
          <cell r="I34" t="str">
            <v>SK케미칼본사</v>
          </cell>
          <cell r="J34" t="str">
            <v>유휴</v>
          </cell>
        </row>
        <row r="35">
          <cell r="A35" t="str">
            <v>없음</v>
          </cell>
          <cell r="B35" t="str">
            <v>UX-CPU-VAX-00007</v>
          </cell>
          <cell r="C35" t="str">
            <v>N</v>
          </cell>
          <cell r="D35" t="str">
            <v>비대상</v>
          </cell>
          <cell r="I35" t="str">
            <v>SK케미칼공장</v>
          </cell>
          <cell r="J35" t="str">
            <v>유휴</v>
          </cell>
        </row>
        <row r="36">
          <cell r="A36" t="str">
            <v>SKI_NT01</v>
          </cell>
          <cell r="B36" t="str">
            <v>NT-CPU-기타-00035</v>
          </cell>
          <cell r="C36" t="str">
            <v>N</v>
          </cell>
          <cell r="D36" t="str">
            <v>비대상</v>
          </cell>
          <cell r="I36" t="str">
            <v>SK케미칼공장</v>
          </cell>
          <cell r="J36" t="str">
            <v>MIS File Server</v>
          </cell>
        </row>
        <row r="37">
          <cell r="A37" t="str">
            <v>SKI_NT02</v>
          </cell>
          <cell r="B37" t="str">
            <v>NT-CPU-기타-00036</v>
          </cell>
          <cell r="C37" t="str">
            <v>N</v>
          </cell>
          <cell r="D37" t="str">
            <v>비대상</v>
          </cell>
          <cell r="I37" t="str">
            <v>SK케미칼공장</v>
          </cell>
          <cell r="J37" t="str">
            <v>공용 File Server</v>
          </cell>
        </row>
        <row r="38">
          <cell r="A38" t="str">
            <v>ULNT1</v>
          </cell>
          <cell r="B38" t="str">
            <v>NT-CPU-기타-00037</v>
          </cell>
          <cell r="C38" t="str">
            <v>N</v>
          </cell>
          <cell r="D38" t="str">
            <v>비대상</v>
          </cell>
          <cell r="I38" t="str">
            <v>SK케미칼공장</v>
          </cell>
          <cell r="J38" t="str">
            <v>MIS File Server</v>
          </cell>
        </row>
        <row r="39">
          <cell r="A39" t="str">
            <v>SKCHEM_TSS02</v>
          </cell>
          <cell r="B39" t="str">
            <v>NT-CPU-COMPAQ-00225</v>
          </cell>
          <cell r="C39" t="str">
            <v>N</v>
          </cell>
          <cell r="D39" t="str">
            <v>비대상</v>
          </cell>
          <cell r="I39" t="str">
            <v>SK케미칼공장</v>
          </cell>
          <cell r="J39" t="str">
            <v>TCO Server</v>
          </cell>
        </row>
        <row r="40">
          <cell r="A40" t="str">
            <v>SKCHEM_TSM</v>
          </cell>
          <cell r="B40" t="str">
            <v>NT-CPU-COMPAQ-00221</v>
          </cell>
          <cell r="C40" t="str">
            <v>N</v>
          </cell>
          <cell r="D40" t="str">
            <v>비대상</v>
          </cell>
          <cell r="I40" t="str">
            <v>SK케미칼공장</v>
          </cell>
          <cell r="J40" t="str">
            <v>TCO Server</v>
          </cell>
        </row>
        <row r="41">
          <cell r="A41" t="str">
            <v>SKCHEM_TSS01</v>
          </cell>
          <cell r="B41" t="str">
            <v>NT-CPU-COMPAQ-00223</v>
          </cell>
          <cell r="C41" t="str">
            <v>N</v>
          </cell>
          <cell r="D41" t="str">
            <v>비대상</v>
          </cell>
          <cell r="I41" t="str">
            <v>SK케미칼공장</v>
          </cell>
          <cell r="J41" t="str">
            <v>TCO Server</v>
          </cell>
        </row>
        <row r="42">
          <cell r="A42" t="str">
            <v>RTDBSVR</v>
          </cell>
          <cell r="B42" t="str">
            <v>NT-CPU-COMPAQ-00226</v>
          </cell>
          <cell r="C42" t="str">
            <v>N</v>
          </cell>
          <cell r="D42" t="str">
            <v>비대상</v>
          </cell>
          <cell r="I42" t="str">
            <v>SK케미칼공장</v>
          </cell>
          <cell r="J42" t="str">
            <v>RTDB Server</v>
          </cell>
        </row>
        <row r="43">
          <cell r="A43" t="str">
            <v>PRIDCHEM</v>
          </cell>
          <cell r="B43" t="str">
            <v>NT-CPU-COMPAQ-00227</v>
          </cell>
          <cell r="C43" t="str">
            <v>N</v>
          </cell>
          <cell r="D43" t="str">
            <v>비대상</v>
          </cell>
          <cell r="I43" t="str">
            <v>SK케미칼공장</v>
          </cell>
          <cell r="J43" t="str">
            <v>PRID Server</v>
          </cell>
        </row>
        <row r="44">
          <cell r="A44" t="str">
            <v>PERF_CHEM</v>
          </cell>
          <cell r="B44" t="str">
            <v>NT-CPU-COMPAQ-00228</v>
          </cell>
          <cell r="C44" t="str">
            <v>N</v>
          </cell>
          <cell r="D44" t="str">
            <v>비대상</v>
          </cell>
          <cell r="I44" t="str">
            <v>SK케미칼공장</v>
          </cell>
          <cell r="J44" t="str">
            <v>PerFman Server</v>
          </cell>
        </row>
        <row r="45">
          <cell r="A45" t="str">
            <v>SKI_NT01</v>
          </cell>
          <cell r="B45" t="str">
            <v>NT-CPU-기타-00035</v>
          </cell>
          <cell r="C45" t="str">
            <v>N</v>
          </cell>
          <cell r="D45" t="str">
            <v>비대상</v>
          </cell>
          <cell r="I45" t="str">
            <v>SK케미칼공장</v>
          </cell>
          <cell r="J45" t="str">
            <v>MIS File Server</v>
          </cell>
        </row>
        <row r="46">
          <cell r="A46" t="str">
            <v>RTDBSUSVR</v>
          </cell>
          <cell r="B46" t="str">
            <v>NT-CPU-COMPAQ-00231</v>
          </cell>
          <cell r="C46" t="str">
            <v>N</v>
          </cell>
          <cell r="D46" t="str">
            <v>비대상</v>
          </cell>
          <cell r="I46" t="str">
            <v>SK케미칼공장</v>
          </cell>
          <cell r="J46" t="str">
            <v>RTDB Server</v>
          </cell>
        </row>
        <row r="47">
          <cell r="A47" t="str">
            <v>OIS</v>
          </cell>
          <cell r="B47" t="str">
            <v>NT-CPU-IBM-00069</v>
          </cell>
          <cell r="C47" t="str">
            <v>N</v>
          </cell>
          <cell r="D47" t="str">
            <v>비대상</v>
          </cell>
          <cell r="I47" t="str">
            <v>SK케미칼공장</v>
          </cell>
          <cell r="J47" t="str">
            <v>생산관리 운영서버</v>
          </cell>
        </row>
        <row r="48">
          <cell r="A48" t="str">
            <v>CMMS</v>
          </cell>
          <cell r="B48" t="str">
            <v>NT-CPU-IBM-00070</v>
          </cell>
          <cell r="C48" t="str">
            <v>N</v>
          </cell>
          <cell r="D48" t="str">
            <v>비대상</v>
          </cell>
          <cell r="I48" t="str">
            <v>SK케미칼공장</v>
          </cell>
          <cell r="J48" t="str">
            <v>설비관리 운영서버</v>
          </cell>
        </row>
        <row r="49">
          <cell r="A49" t="str">
            <v>LOIS</v>
          </cell>
          <cell r="B49" t="str">
            <v>NT-CPU-IBM-00071</v>
          </cell>
          <cell r="C49" t="str">
            <v>N</v>
          </cell>
          <cell r="D49" t="str">
            <v>비대상</v>
          </cell>
          <cell r="I49" t="str">
            <v>SK케미칼공장</v>
          </cell>
          <cell r="J49" t="str">
            <v>물류정보 운영서버</v>
          </cell>
        </row>
      </sheetData>
      <sheetData sheetId="10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Function</v>
          </cell>
          <cell r="F1" t="str">
            <v>서버명</v>
          </cell>
          <cell r="G1" t="str">
            <v>Location</v>
          </cell>
          <cell r="H1" t="str">
            <v>적용업무1</v>
          </cell>
        </row>
        <row r="3">
          <cell r="A3" t="str">
            <v>SKEC_APP1</v>
          </cell>
          <cell r="B3" t="str">
            <v>NT-CPU-COMPAQ-00621</v>
          </cell>
          <cell r="C3" t="str">
            <v>Y</v>
          </cell>
          <cell r="D3" t="str">
            <v>C</v>
          </cell>
          <cell r="E3" t="str">
            <v>OfficeNet</v>
          </cell>
          <cell r="F3" t="str">
            <v>SKEC_APP1</v>
          </cell>
          <cell r="G3" t="str">
            <v>SK건설빌딩</v>
          </cell>
          <cell r="H3" t="str">
            <v>Notes Application Server</v>
          </cell>
        </row>
        <row r="4">
          <cell r="A4" t="str">
            <v>KM_01</v>
          </cell>
          <cell r="C4" t="str">
            <v>Y</v>
          </cell>
          <cell r="D4" t="str">
            <v>C</v>
          </cell>
          <cell r="E4" t="str">
            <v>KM(@ranet)</v>
          </cell>
          <cell r="F4" t="str">
            <v>KM_01</v>
          </cell>
          <cell r="G4" t="str">
            <v>?</v>
          </cell>
          <cell r="H4" t="str">
            <v>KM(@ranet)</v>
          </cell>
        </row>
        <row r="5">
          <cell r="A5" t="str">
            <v>KM_NOTES</v>
          </cell>
          <cell r="C5" t="str">
            <v>Y</v>
          </cell>
          <cell r="D5" t="str">
            <v>C</v>
          </cell>
          <cell r="E5" t="str">
            <v>KM(@ranet)</v>
          </cell>
          <cell r="F5" t="str">
            <v>KM_NOTES</v>
          </cell>
          <cell r="H5" t="str">
            <v>KM(@ranet)</v>
          </cell>
        </row>
        <row r="6">
          <cell r="A6" t="str">
            <v>KM_02</v>
          </cell>
          <cell r="C6" t="str">
            <v>Y</v>
          </cell>
          <cell r="D6" t="str">
            <v>C</v>
          </cell>
          <cell r="E6" t="str">
            <v>KM(@ranet)</v>
          </cell>
          <cell r="F6" t="str">
            <v>KM_02</v>
          </cell>
          <cell r="H6" t="str">
            <v>KM(@ranet)</v>
          </cell>
        </row>
        <row r="7">
          <cell r="A7" t="str">
            <v>SKDBS-2</v>
          </cell>
          <cell r="B7" t="str">
            <v>NT-CPU-COMPAQ-00616</v>
          </cell>
          <cell r="C7" t="str">
            <v>Y</v>
          </cell>
          <cell r="D7" t="str">
            <v>B</v>
          </cell>
          <cell r="E7" t="str">
            <v>영업정보</v>
          </cell>
          <cell r="F7" t="str">
            <v>SKDBS-2</v>
          </cell>
          <cell r="G7" t="str">
            <v>SK건설빌딩</v>
          </cell>
          <cell r="H7" t="str">
            <v>해외영업</v>
          </cell>
        </row>
        <row r="8">
          <cell r="A8" t="str">
            <v>AS84</v>
          </cell>
          <cell r="B8" t="str">
            <v>UX-CPU-ALPHA-00008</v>
          </cell>
          <cell r="C8" t="str">
            <v>Y</v>
          </cell>
          <cell r="D8" t="str">
            <v>A</v>
          </cell>
          <cell r="E8" t="str">
            <v>분양관리</v>
          </cell>
          <cell r="F8" t="str">
            <v>AS84</v>
          </cell>
          <cell r="G8" t="str">
            <v>대덕CDC</v>
          </cell>
          <cell r="H8" t="str">
            <v>MIS</v>
          </cell>
        </row>
        <row r="9">
          <cell r="A9" t="str">
            <v>SKEC_EIS</v>
          </cell>
          <cell r="B9" t="str">
            <v>NT-CPU-COMPAQ-00631</v>
          </cell>
          <cell r="C9" t="str">
            <v>Y</v>
          </cell>
          <cell r="D9" t="str">
            <v>C</v>
          </cell>
          <cell r="E9" t="str">
            <v>관리회계</v>
          </cell>
          <cell r="F9" t="str">
            <v>SKEC_EIS</v>
          </cell>
          <cell r="G9" t="str">
            <v>SK건설빌딩</v>
          </cell>
          <cell r="H9" t="str">
            <v>관리회계 시스템</v>
          </cell>
        </row>
        <row r="10">
          <cell r="A10" t="str">
            <v>SKEC_EIS</v>
          </cell>
          <cell r="B10" t="str">
            <v>NT-CPU-COMPAQ-00631</v>
          </cell>
          <cell r="C10" t="str">
            <v>Y</v>
          </cell>
          <cell r="D10" t="str">
            <v>C</v>
          </cell>
          <cell r="E10" t="str">
            <v>KPI</v>
          </cell>
          <cell r="F10" t="str">
            <v>SKEC_EIS</v>
          </cell>
          <cell r="G10" t="str">
            <v>SK건설빌딩</v>
          </cell>
          <cell r="H10" t="str">
            <v>관리회계 시스템</v>
          </cell>
        </row>
        <row r="11">
          <cell r="A11" t="str">
            <v>SKEC_APP2</v>
          </cell>
          <cell r="B11" t="str">
            <v>NT-CPU-COMPAQ-00629</v>
          </cell>
          <cell r="C11" t="str">
            <v>Y</v>
          </cell>
          <cell r="D11" t="str">
            <v>C</v>
          </cell>
          <cell r="E11" t="str">
            <v>HRMS</v>
          </cell>
          <cell r="F11" t="str">
            <v>SKEC_APP2</v>
          </cell>
          <cell r="G11" t="str">
            <v>SK건설빌딩</v>
          </cell>
          <cell r="H11" t="str">
            <v>인사관리 시스템</v>
          </cell>
        </row>
        <row r="12">
          <cell r="A12" t="str">
            <v>AS84</v>
          </cell>
          <cell r="B12" t="str">
            <v>UX-CPU-ALPHA-00008</v>
          </cell>
          <cell r="C12" t="str">
            <v>Y</v>
          </cell>
          <cell r="D12" t="str">
            <v>C</v>
          </cell>
          <cell r="E12" t="str">
            <v>민방위자원관리</v>
          </cell>
          <cell r="F12" t="str">
            <v>AS84</v>
          </cell>
          <cell r="G12" t="str">
            <v>대덕CDC</v>
          </cell>
          <cell r="H12" t="str">
            <v>MIS</v>
          </cell>
        </row>
        <row r="13">
          <cell r="A13" t="str">
            <v>AS84</v>
          </cell>
          <cell r="B13" t="str">
            <v>UX-CPU-ALPHA-00008</v>
          </cell>
          <cell r="C13" t="str">
            <v>Y</v>
          </cell>
          <cell r="D13" t="str">
            <v>C</v>
          </cell>
          <cell r="E13" t="str">
            <v>JobMS</v>
          </cell>
          <cell r="F13" t="str">
            <v>AS84</v>
          </cell>
          <cell r="G13" t="str">
            <v>대덕CDC</v>
          </cell>
          <cell r="H13" t="str">
            <v>MIS</v>
          </cell>
        </row>
        <row r="14">
          <cell r="A14" t="str">
            <v>PC</v>
          </cell>
          <cell r="C14" t="str">
            <v>Y</v>
          </cell>
          <cell r="D14" t="str">
            <v>C</v>
          </cell>
          <cell r="E14" t="str">
            <v>예산/견적 JobMS</v>
          </cell>
          <cell r="F14" t="str">
            <v>PC</v>
          </cell>
          <cell r="G14" t="str">
            <v>?</v>
          </cell>
          <cell r="H14" t="str">
            <v>예산/견적 JobMS</v>
          </cell>
        </row>
        <row r="15">
          <cell r="A15" t="str">
            <v>AS84</v>
          </cell>
          <cell r="B15" t="str">
            <v>UX-CPU-ALPHA-00008</v>
          </cell>
          <cell r="C15" t="str">
            <v>Y</v>
          </cell>
          <cell r="D15" t="str">
            <v>C</v>
          </cell>
          <cell r="E15" t="str">
            <v>재무회계/공통코드</v>
          </cell>
          <cell r="F15" t="str">
            <v>AS84</v>
          </cell>
          <cell r="G15" t="str">
            <v>대덕CDC</v>
          </cell>
          <cell r="H15" t="str">
            <v>MIS</v>
          </cell>
        </row>
        <row r="16">
          <cell r="A16" t="str">
            <v>AS84</v>
          </cell>
          <cell r="B16" t="str">
            <v>UX-CPU-ALPHA-00008</v>
          </cell>
          <cell r="C16" t="str">
            <v>Y</v>
          </cell>
          <cell r="D16" t="str">
            <v>C</v>
          </cell>
          <cell r="E16" t="str">
            <v>세무회계</v>
          </cell>
          <cell r="F16" t="str">
            <v>AS84</v>
          </cell>
          <cell r="G16" t="str">
            <v>대덕CDC</v>
          </cell>
          <cell r="H16" t="str">
            <v>MIS</v>
          </cell>
        </row>
        <row r="17">
          <cell r="A17" t="str">
            <v>AS84</v>
          </cell>
          <cell r="B17" t="str">
            <v>UX-CPU-ALPHA-00008</v>
          </cell>
          <cell r="C17" t="str">
            <v>Y</v>
          </cell>
          <cell r="D17" t="str">
            <v>C</v>
          </cell>
          <cell r="E17" t="str">
            <v>해외결산</v>
          </cell>
          <cell r="F17" t="str">
            <v>AS84</v>
          </cell>
          <cell r="G17" t="str">
            <v>대덕CDC</v>
          </cell>
          <cell r="H17" t="str">
            <v>MIS</v>
          </cell>
        </row>
        <row r="18">
          <cell r="A18" t="str">
            <v>PC</v>
          </cell>
          <cell r="C18" t="str">
            <v>Y</v>
          </cell>
          <cell r="D18" t="str">
            <v>C</v>
          </cell>
          <cell r="E18" t="str">
            <v>해외회계</v>
          </cell>
          <cell r="F18" t="str">
            <v>PC</v>
          </cell>
          <cell r="G18" t="str">
            <v>?</v>
          </cell>
        </row>
        <row r="19">
          <cell r="A19" t="str">
            <v>PC</v>
          </cell>
          <cell r="C19" t="str">
            <v>Y</v>
          </cell>
          <cell r="D19" t="str">
            <v>D</v>
          </cell>
          <cell r="E19" t="str">
            <v>기업가치평가</v>
          </cell>
          <cell r="F19" t="str">
            <v>PC</v>
          </cell>
          <cell r="G19" t="str">
            <v>?</v>
          </cell>
          <cell r="H19" t="str">
            <v>기업가치평가</v>
          </cell>
        </row>
        <row r="20">
          <cell r="A20" t="str">
            <v>AS84</v>
          </cell>
          <cell r="B20" t="str">
            <v>UX-CPU-ALPHA-00008</v>
          </cell>
          <cell r="C20" t="str">
            <v>Y</v>
          </cell>
          <cell r="D20" t="str">
            <v>C</v>
          </cell>
          <cell r="E20" t="str">
            <v>고정자산</v>
          </cell>
          <cell r="F20" t="str">
            <v>AS84</v>
          </cell>
          <cell r="G20" t="str">
            <v>대덕CDC</v>
          </cell>
          <cell r="H20" t="str">
            <v>MIS</v>
          </cell>
        </row>
        <row r="21">
          <cell r="A21" t="str">
            <v>AS84</v>
          </cell>
          <cell r="B21" t="str">
            <v>UX-CPU-ALPHA-00008</v>
          </cell>
          <cell r="C21" t="str">
            <v>Y</v>
          </cell>
          <cell r="D21" t="str">
            <v>C</v>
          </cell>
          <cell r="E21" t="str">
            <v>자금청구</v>
          </cell>
          <cell r="F21" t="str">
            <v>AS84</v>
          </cell>
          <cell r="G21" t="str">
            <v>대덕CDC</v>
          </cell>
          <cell r="H21" t="str">
            <v>MIS</v>
          </cell>
        </row>
        <row r="22">
          <cell r="A22" t="str">
            <v>AS84</v>
          </cell>
          <cell r="B22" t="str">
            <v>UX-CPU-ALPHA-00008</v>
          </cell>
          <cell r="C22" t="str">
            <v>Y</v>
          </cell>
          <cell r="D22" t="str">
            <v>C</v>
          </cell>
          <cell r="E22" t="str">
            <v>자금관리</v>
          </cell>
          <cell r="F22" t="str">
            <v>AS84</v>
          </cell>
          <cell r="G22" t="str">
            <v>대덕CDC</v>
          </cell>
          <cell r="H22" t="str">
            <v>MIS</v>
          </cell>
        </row>
        <row r="23">
          <cell r="A23" t="str">
            <v>WEBDEV1</v>
          </cell>
          <cell r="B23" t="str">
            <v>NT-CPU-COMPAQ-00622</v>
          </cell>
          <cell r="C23" t="str">
            <v>Y</v>
          </cell>
          <cell r="D23" t="str">
            <v>D</v>
          </cell>
          <cell r="E23" t="str">
            <v>자금결재현황</v>
          </cell>
          <cell r="F23" t="str">
            <v>WEBDEV1</v>
          </cell>
          <cell r="G23" t="str">
            <v>SK건설빌딩</v>
          </cell>
          <cell r="H23" t="str">
            <v>Intranet 개발</v>
          </cell>
        </row>
        <row r="24">
          <cell r="A24" t="str">
            <v>AS84</v>
          </cell>
          <cell r="B24" t="str">
            <v>UX-CPU-ALPHA-00008</v>
          </cell>
          <cell r="C24" t="str">
            <v>Y</v>
          </cell>
          <cell r="D24" t="str">
            <v>C</v>
          </cell>
          <cell r="E24" t="str">
            <v>Charge No/공통코드</v>
          </cell>
          <cell r="F24" t="str">
            <v>AS84</v>
          </cell>
          <cell r="G24" t="str">
            <v>대덕CDC</v>
          </cell>
          <cell r="H24" t="str">
            <v>MIS</v>
          </cell>
        </row>
        <row r="25">
          <cell r="A25" t="str">
            <v>AS84</v>
          </cell>
          <cell r="B25" t="str">
            <v>UX-CPU-ALPHA-00008</v>
          </cell>
          <cell r="C25" t="str">
            <v>Y</v>
          </cell>
          <cell r="D25" t="str">
            <v>B</v>
          </cell>
          <cell r="E25" t="str">
            <v>계약관리</v>
          </cell>
          <cell r="F25" t="str">
            <v>AS84</v>
          </cell>
          <cell r="G25" t="str">
            <v>대덕CDC</v>
          </cell>
          <cell r="H25" t="str">
            <v>MIS</v>
          </cell>
        </row>
        <row r="26">
          <cell r="A26" t="str">
            <v>AS84</v>
          </cell>
          <cell r="B26" t="str">
            <v>UX-CPU-ALPHA-00008</v>
          </cell>
          <cell r="C26" t="str">
            <v>Y</v>
          </cell>
          <cell r="D26" t="str">
            <v>D</v>
          </cell>
          <cell r="E26" t="str">
            <v>부서지원</v>
          </cell>
          <cell r="F26" t="str">
            <v>AS84</v>
          </cell>
          <cell r="G26" t="str">
            <v>대덕CDC</v>
          </cell>
          <cell r="H26" t="str">
            <v>MIS</v>
          </cell>
        </row>
        <row r="27">
          <cell r="A27" t="str">
            <v>AS84</v>
          </cell>
          <cell r="B27" t="str">
            <v>UX-CPU-ALPHA-00008</v>
          </cell>
          <cell r="C27" t="str">
            <v>Y</v>
          </cell>
          <cell r="D27" t="str">
            <v>C</v>
          </cell>
          <cell r="E27" t="str">
            <v>전산자원관리</v>
          </cell>
          <cell r="F27" t="str">
            <v>AS84</v>
          </cell>
          <cell r="G27" t="str">
            <v>대덕CDC</v>
          </cell>
          <cell r="H27" t="str">
            <v>MIS</v>
          </cell>
        </row>
        <row r="28">
          <cell r="A28" t="str">
            <v>AS84</v>
          </cell>
          <cell r="B28" t="str">
            <v>UX-CPU-ALPHA-00008</v>
          </cell>
          <cell r="C28" t="str">
            <v>Y</v>
          </cell>
          <cell r="D28" t="str">
            <v>C</v>
          </cell>
          <cell r="E28" t="str">
            <v>주택품질보증정보</v>
          </cell>
          <cell r="F28" t="str">
            <v>AS84</v>
          </cell>
          <cell r="G28" t="str">
            <v>대덕CDC</v>
          </cell>
          <cell r="H28" t="str">
            <v>MIS</v>
          </cell>
        </row>
        <row r="29">
          <cell r="A29" t="str">
            <v>AS84</v>
          </cell>
          <cell r="B29" t="str">
            <v>UX-CPU-ALPHA-00008</v>
          </cell>
          <cell r="C29" t="str">
            <v>Y</v>
          </cell>
          <cell r="D29" t="str">
            <v>D</v>
          </cell>
          <cell r="E29" t="str">
            <v>산재/고용보험</v>
          </cell>
          <cell r="F29" t="str">
            <v>AS84</v>
          </cell>
          <cell r="G29" t="str">
            <v>대덕CDC</v>
          </cell>
          <cell r="H29" t="str">
            <v>MIS</v>
          </cell>
        </row>
        <row r="30">
          <cell r="A30" t="str">
            <v>SKOADB</v>
          </cell>
          <cell r="B30" t="str">
            <v>NT-CPU-COMPAQ-00602</v>
          </cell>
          <cell r="C30" t="str">
            <v>Y</v>
          </cell>
          <cell r="D30" t="str">
            <v>C</v>
          </cell>
          <cell r="E30" t="str">
            <v>품질평가</v>
          </cell>
          <cell r="F30" t="str">
            <v>SKOADB</v>
          </cell>
          <cell r="G30" t="str">
            <v>SK건설빌딩</v>
          </cell>
          <cell r="H30" t="str">
            <v>Application DB Server</v>
          </cell>
        </row>
        <row r="31">
          <cell r="A31" t="str">
            <v>SKOADB</v>
          </cell>
          <cell r="B31" t="str">
            <v>NT-CPU-COMPAQ-00602</v>
          </cell>
          <cell r="C31" t="str">
            <v>Y</v>
          </cell>
          <cell r="D31" t="str">
            <v>C</v>
          </cell>
          <cell r="E31" t="str">
            <v>품질경영</v>
          </cell>
          <cell r="F31" t="str">
            <v>SKOADB</v>
          </cell>
          <cell r="G31" t="str">
            <v>SK건설빌딩</v>
          </cell>
          <cell r="H31" t="str">
            <v>Application DB Server</v>
          </cell>
        </row>
        <row r="32">
          <cell r="A32" t="str">
            <v>SKOADB</v>
          </cell>
          <cell r="B32" t="str">
            <v>NT-CPU-COMPAQ-00602</v>
          </cell>
          <cell r="C32" t="str">
            <v>Y</v>
          </cell>
          <cell r="D32" t="str">
            <v>C</v>
          </cell>
          <cell r="E32" t="str">
            <v>품질보증</v>
          </cell>
          <cell r="F32" t="str">
            <v>SKOADB</v>
          </cell>
          <cell r="G32" t="str">
            <v>SK건설빌딩</v>
          </cell>
          <cell r="H32" t="str">
            <v>Application DB Server</v>
          </cell>
        </row>
        <row r="33">
          <cell r="A33" t="str">
            <v>SKOADB</v>
          </cell>
          <cell r="B33" t="str">
            <v>NT-CPU-COMPAQ-00602</v>
          </cell>
          <cell r="C33" t="str">
            <v>Y</v>
          </cell>
          <cell r="D33" t="str">
            <v>C</v>
          </cell>
          <cell r="E33" t="str">
            <v>협력업체평가</v>
          </cell>
          <cell r="F33" t="str">
            <v>SKOADB</v>
          </cell>
          <cell r="G33" t="str">
            <v>SK건설빌딩</v>
          </cell>
          <cell r="H33" t="str">
            <v>Application DB Server</v>
          </cell>
        </row>
        <row r="34">
          <cell r="A34" t="str">
            <v>PC</v>
          </cell>
          <cell r="C34" t="str">
            <v>Y</v>
          </cell>
          <cell r="D34" t="str">
            <v>C</v>
          </cell>
          <cell r="E34" t="str">
            <v>현장품질관리</v>
          </cell>
          <cell r="F34" t="str">
            <v>PC</v>
          </cell>
          <cell r="G34" t="str">
            <v>?</v>
          </cell>
        </row>
        <row r="35">
          <cell r="A35" t="str">
            <v>AS84</v>
          </cell>
          <cell r="B35" t="str">
            <v>UX-CPU-ALPHA-00008</v>
          </cell>
          <cell r="C35" t="str">
            <v>Y</v>
          </cell>
          <cell r="D35" t="str">
            <v>C</v>
          </cell>
          <cell r="E35" t="str">
            <v>안전관리</v>
          </cell>
          <cell r="F35" t="str">
            <v>AS84</v>
          </cell>
          <cell r="G35" t="str">
            <v>대덕CDC</v>
          </cell>
          <cell r="H35" t="str">
            <v>MIS</v>
          </cell>
        </row>
        <row r="36">
          <cell r="A36" t="str">
            <v>SKCEMS_APP</v>
          </cell>
          <cell r="B36" t="str">
            <v>NT-CPU-COMPAQ-00649</v>
          </cell>
          <cell r="C36" t="str">
            <v>Y</v>
          </cell>
          <cell r="D36" t="str">
            <v>C</v>
          </cell>
          <cell r="E36" t="str">
            <v>공통코드</v>
          </cell>
          <cell r="F36" t="str">
            <v>SKCEMS_APP</v>
          </cell>
          <cell r="G36" t="str">
            <v>SK건설빌딩</v>
          </cell>
          <cell r="H36" t="str">
            <v>장비관리 시스템</v>
          </cell>
        </row>
        <row r="37">
          <cell r="A37" t="str">
            <v>SKPCMS_APP</v>
          </cell>
          <cell r="B37" t="str">
            <v>NT-CPU-COMPAQ-00649</v>
          </cell>
          <cell r="C37" t="str">
            <v>Y</v>
          </cell>
          <cell r="D37" t="str">
            <v>B</v>
          </cell>
          <cell r="E37" t="str">
            <v>원가관리</v>
          </cell>
          <cell r="F37" t="str">
            <v>SKPCMS_APP</v>
          </cell>
          <cell r="G37" t="str">
            <v>SK건설빌딩</v>
          </cell>
          <cell r="H37" t="str">
            <v>장비관리 시스템</v>
          </cell>
        </row>
        <row r="38">
          <cell r="A38" t="str">
            <v>PC</v>
          </cell>
          <cell r="C38" t="str">
            <v>Y</v>
          </cell>
          <cell r="D38" t="str">
            <v>B</v>
          </cell>
          <cell r="E38" t="str">
            <v>공무정산관리</v>
          </cell>
          <cell r="F38" t="str">
            <v>PC</v>
          </cell>
          <cell r="G38" t="str">
            <v>?</v>
          </cell>
        </row>
        <row r="39">
          <cell r="A39" t="str">
            <v>AS84</v>
          </cell>
          <cell r="B39" t="str">
            <v>UX-CPU-ALPHA-00008</v>
          </cell>
          <cell r="C39" t="str">
            <v>Y</v>
          </cell>
          <cell r="D39" t="str">
            <v>C</v>
          </cell>
          <cell r="E39" t="str">
            <v>현장운영</v>
          </cell>
          <cell r="F39" t="str">
            <v>AS84</v>
          </cell>
          <cell r="G39" t="str">
            <v>대덕CDC</v>
          </cell>
          <cell r="H39" t="str">
            <v>MIS</v>
          </cell>
        </row>
        <row r="40">
          <cell r="A40" t="str">
            <v>SKPLMS_APP</v>
          </cell>
          <cell r="B40" t="str">
            <v>NT-CPU-COMPAQ-00648</v>
          </cell>
          <cell r="C40" t="str">
            <v>Y</v>
          </cell>
          <cell r="D40" t="str">
            <v>C</v>
          </cell>
          <cell r="E40" t="str">
            <v>노무관리</v>
          </cell>
          <cell r="F40" t="str">
            <v>SKPLMS_APP</v>
          </cell>
          <cell r="G40" t="str">
            <v>SK건설빌딩</v>
          </cell>
          <cell r="H40" t="str">
            <v>노무관리 시스템</v>
          </cell>
        </row>
        <row r="41">
          <cell r="A41" t="str">
            <v>SKESMS_APP</v>
          </cell>
          <cell r="B41" t="str">
            <v>NT-CPU-COMPAQ-00648</v>
          </cell>
          <cell r="C41" t="str">
            <v>Y</v>
          </cell>
          <cell r="D41" t="str">
            <v>C</v>
          </cell>
          <cell r="E41" t="str">
            <v>외주관리</v>
          </cell>
          <cell r="F41" t="str">
            <v>SKESMS_APP</v>
          </cell>
          <cell r="G41" t="str">
            <v>SK건설빌딩</v>
          </cell>
          <cell r="H41" t="str">
            <v>노무관리 시스템</v>
          </cell>
        </row>
        <row r="42">
          <cell r="A42" t="str">
            <v>SKESMS_WEB</v>
          </cell>
          <cell r="C42" t="str">
            <v>Y</v>
          </cell>
          <cell r="D42" t="str">
            <v>C</v>
          </cell>
          <cell r="E42" t="str">
            <v>외주입찰</v>
          </cell>
          <cell r="F42" t="str">
            <v>SKESMS_WEB</v>
          </cell>
          <cell r="G42" t="str">
            <v>?</v>
          </cell>
        </row>
        <row r="43">
          <cell r="A43" t="str">
            <v>SKCEMS_APP</v>
          </cell>
          <cell r="B43" t="str">
            <v>NT-CPU-COMPAQ-00649</v>
          </cell>
          <cell r="C43" t="str">
            <v>Y</v>
          </cell>
          <cell r="D43" t="str">
            <v>C</v>
          </cell>
          <cell r="E43" t="str">
            <v>장비관리</v>
          </cell>
          <cell r="F43" t="str">
            <v>SKCEMS_APP</v>
          </cell>
          <cell r="G43" t="str">
            <v>SK건설빌딩</v>
          </cell>
          <cell r="H43" t="str">
            <v>장비관리 시스템</v>
          </cell>
        </row>
        <row r="44">
          <cell r="A44" t="str">
            <v>AS84</v>
          </cell>
          <cell r="B44" t="str">
            <v>UX-CPU-ALPHA-00008</v>
          </cell>
          <cell r="C44" t="str">
            <v>Y</v>
          </cell>
          <cell r="D44" t="str">
            <v>C</v>
          </cell>
          <cell r="E44" t="str">
            <v>자재구매</v>
          </cell>
          <cell r="F44" t="str">
            <v>AS84</v>
          </cell>
          <cell r="G44" t="str">
            <v>대덕CDC</v>
          </cell>
          <cell r="H44" t="str">
            <v>MIS</v>
          </cell>
        </row>
        <row r="45">
          <cell r="A45" t="str">
            <v>SKOADB</v>
          </cell>
          <cell r="B45" t="str">
            <v>NT-CPU-COMPAQ-00602</v>
          </cell>
          <cell r="C45" t="str">
            <v>Y</v>
          </cell>
          <cell r="D45" t="str">
            <v>C</v>
          </cell>
          <cell r="E45" t="str">
            <v>통합 구매/자재관리</v>
          </cell>
          <cell r="F45" t="str">
            <v>SKOADB</v>
          </cell>
          <cell r="G45" t="str">
            <v>SK건설빌딩</v>
          </cell>
          <cell r="H45" t="str">
            <v>Application DB Server</v>
          </cell>
        </row>
        <row r="46">
          <cell r="A46" t="str">
            <v>SKIMMS_WEB</v>
          </cell>
          <cell r="C46" t="str">
            <v>Y</v>
          </cell>
          <cell r="D46" t="str">
            <v>C</v>
          </cell>
          <cell r="E46" t="str">
            <v>e-Procument</v>
          </cell>
          <cell r="F46" t="str">
            <v>SKIMMS_WEB</v>
          </cell>
          <cell r="G46" t="str">
            <v>?</v>
          </cell>
        </row>
        <row r="47">
          <cell r="A47" t="str">
            <v>SKIMMS_WAP</v>
          </cell>
          <cell r="C47" t="str">
            <v>Y</v>
          </cell>
          <cell r="D47" t="str">
            <v>C</v>
          </cell>
          <cell r="E47" t="str">
            <v>e-Procument</v>
          </cell>
          <cell r="F47" t="str">
            <v>SKIMMS_WAP</v>
          </cell>
          <cell r="G47" t="str">
            <v>?</v>
          </cell>
        </row>
        <row r="48">
          <cell r="A48" t="str">
            <v>SKOADB</v>
          </cell>
          <cell r="B48" t="str">
            <v>NT-CPU-COMPAQ-00602</v>
          </cell>
          <cell r="C48" t="str">
            <v>Y</v>
          </cell>
          <cell r="D48" t="str">
            <v>D</v>
          </cell>
          <cell r="E48" t="str">
            <v>EDCS</v>
          </cell>
          <cell r="F48" t="str">
            <v>SKOADB</v>
          </cell>
          <cell r="G48" t="str">
            <v>SK건설빌딩</v>
          </cell>
          <cell r="H48" t="str">
            <v>Application DB Server</v>
          </cell>
        </row>
        <row r="49">
          <cell r="A49" t="str">
            <v>SKOADB</v>
          </cell>
          <cell r="B49" t="str">
            <v>NT-CPU-COMPAQ-00602</v>
          </cell>
          <cell r="C49" t="str">
            <v>Y</v>
          </cell>
          <cell r="D49" t="str">
            <v>D</v>
          </cell>
          <cell r="E49" t="str">
            <v>EMS</v>
          </cell>
          <cell r="F49" t="str">
            <v>SKOADB</v>
          </cell>
          <cell r="G49" t="str">
            <v>SK건설빌딩</v>
          </cell>
          <cell r="H49" t="str">
            <v>Application DB Server</v>
          </cell>
        </row>
        <row r="50">
          <cell r="A50" t="str">
            <v>SKOADB</v>
          </cell>
          <cell r="B50" t="str">
            <v>NT-CPU-COMPAQ-00602</v>
          </cell>
          <cell r="C50" t="str">
            <v>Y</v>
          </cell>
          <cell r="D50" t="str">
            <v>D</v>
          </cell>
          <cell r="E50" t="str">
            <v>EPRS</v>
          </cell>
          <cell r="F50" t="str">
            <v>SKOADB</v>
          </cell>
          <cell r="G50" t="str">
            <v>SK건설빌딩</v>
          </cell>
          <cell r="H50" t="str">
            <v>Application DB Server</v>
          </cell>
        </row>
        <row r="51">
          <cell r="A51" t="str">
            <v>SKOADB</v>
          </cell>
          <cell r="B51" t="str">
            <v>NT-CPU-COMPAQ-00602</v>
          </cell>
          <cell r="C51" t="str">
            <v>Y</v>
          </cell>
          <cell r="D51" t="str">
            <v>D</v>
          </cell>
          <cell r="E51" t="str">
            <v>PCR</v>
          </cell>
          <cell r="F51" t="str">
            <v>SKOADB</v>
          </cell>
          <cell r="G51" t="str">
            <v>SK건설빌딩</v>
          </cell>
          <cell r="H51" t="str">
            <v>Application DB Server</v>
          </cell>
        </row>
        <row r="52">
          <cell r="A52" t="str">
            <v>SKOADB</v>
          </cell>
          <cell r="B52" t="str">
            <v>NT-CPU-COMPAQ-00602</v>
          </cell>
          <cell r="C52" t="str">
            <v>Y</v>
          </cell>
          <cell r="D52" t="str">
            <v>D</v>
          </cell>
          <cell r="E52" t="str">
            <v>PMIS</v>
          </cell>
          <cell r="F52" t="str">
            <v>SKOADB</v>
          </cell>
          <cell r="G52" t="str">
            <v>SK건설빌딩</v>
          </cell>
          <cell r="H52" t="str">
            <v>Application DB Server</v>
          </cell>
        </row>
        <row r="53">
          <cell r="A53" t="str">
            <v>SKOADB</v>
          </cell>
          <cell r="B53" t="str">
            <v>NT-CPU-COMPAQ-00602</v>
          </cell>
          <cell r="C53" t="str">
            <v>Y</v>
          </cell>
          <cell r="D53" t="str">
            <v>D</v>
          </cell>
          <cell r="E53" t="str">
            <v>PPRS</v>
          </cell>
          <cell r="F53" t="str">
            <v>SKOADB</v>
          </cell>
          <cell r="G53" t="str">
            <v>SK건설빌딩</v>
          </cell>
          <cell r="H53" t="str">
            <v>Application DB Server</v>
          </cell>
        </row>
        <row r="54">
          <cell r="A54" t="str">
            <v>SKOADB</v>
          </cell>
          <cell r="B54" t="str">
            <v>NT-CPU-COMPAQ-00602</v>
          </cell>
          <cell r="C54" t="str">
            <v>Y</v>
          </cell>
          <cell r="D54" t="str">
            <v>D</v>
          </cell>
          <cell r="E54" t="str">
            <v>VDCS</v>
          </cell>
          <cell r="F54" t="str">
            <v>SKOADB</v>
          </cell>
          <cell r="G54" t="str">
            <v>SK건설빌딩</v>
          </cell>
          <cell r="H54" t="str">
            <v>Application DB Server</v>
          </cell>
        </row>
        <row r="55">
          <cell r="A55" t="str">
            <v>SKOADB</v>
          </cell>
          <cell r="B55" t="str">
            <v>NT-CPU-COMPAQ-00602</v>
          </cell>
          <cell r="C55" t="str">
            <v>Y</v>
          </cell>
          <cell r="D55" t="str">
            <v>D</v>
          </cell>
          <cell r="E55" t="str">
            <v>ICMS</v>
          </cell>
          <cell r="F55" t="str">
            <v>SKOADB</v>
          </cell>
          <cell r="G55" t="str">
            <v>SK건설빌딩</v>
          </cell>
          <cell r="H55" t="str">
            <v>Application DB Server</v>
          </cell>
        </row>
        <row r="56">
          <cell r="A56" t="str">
            <v>skec-pki</v>
          </cell>
          <cell r="B56" t="str">
            <v>UX-CPU-SUN-00108</v>
          </cell>
          <cell r="C56" t="str">
            <v>N</v>
          </cell>
          <cell r="D56" t="str">
            <v>비대상</v>
          </cell>
          <cell r="F56" t="str">
            <v>skec-pki</v>
          </cell>
          <cell r="G56" t="str">
            <v>SK건설본사</v>
          </cell>
          <cell r="H56" t="str">
            <v>SK건설 구매인증 보안 서버</v>
          </cell>
        </row>
        <row r="57">
          <cell r="A57" t="str">
            <v>없음</v>
          </cell>
          <cell r="B57" t="str">
            <v>UX-CPU-기타-00009</v>
          </cell>
          <cell r="C57" t="str">
            <v>N</v>
          </cell>
          <cell r="D57" t="str">
            <v>비대상</v>
          </cell>
          <cell r="F57" t="str">
            <v>없음</v>
          </cell>
          <cell r="G57" t="str">
            <v>SK건설본사</v>
          </cell>
          <cell r="H57" t="str">
            <v>printer</v>
          </cell>
        </row>
        <row r="58">
          <cell r="A58" t="str">
            <v>없음</v>
          </cell>
          <cell r="B58" t="str">
            <v>UX-CPU-기타-00010</v>
          </cell>
          <cell r="C58" t="str">
            <v>N</v>
          </cell>
          <cell r="D58" t="str">
            <v>비대상</v>
          </cell>
          <cell r="F58" t="str">
            <v>없음</v>
          </cell>
          <cell r="G58" t="str">
            <v>SK건설본사</v>
          </cell>
          <cell r="H58" t="str">
            <v>printer</v>
          </cell>
        </row>
        <row r="59">
          <cell r="A59" t="str">
            <v>plant8</v>
          </cell>
          <cell r="B59" t="str">
            <v>NT-CPU-INTERGRAPH-00009</v>
          </cell>
          <cell r="C59" t="str">
            <v>N</v>
          </cell>
          <cell r="D59" t="str">
            <v>비대상</v>
          </cell>
          <cell r="F59" t="str">
            <v>plant8</v>
          </cell>
          <cell r="G59" t="str">
            <v>SK건설빌딩</v>
          </cell>
          <cell r="H59" t="str">
            <v>BDC</v>
          </cell>
        </row>
        <row r="60">
          <cell r="A60" t="str">
            <v>SKPDB</v>
          </cell>
          <cell r="B60" t="str">
            <v>NT-CPU-INTERGRAPH-00010</v>
          </cell>
          <cell r="C60" t="str">
            <v>N</v>
          </cell>
          <cell r="D60" t="str">
            <v>비대상</v>
          </cell>
          <cell r="F60" t="str">
            <v>SKPDB</v>
          </cell>
          <cell r="G60" t="str">
            <v>SK건설빌딩</v>
          </cell>
          <cell r="H60" t="str">
            <v>Application DB Server</v>
          </cell>
        </row>
        <row r="61">
          <cell r="A61" t="str">
            <v>Data-Trans</v>
          </cell>
          <cell r="B61" t="str">
            <v>NT-CPU-COMPAQ-00605</v>
          </cell>
          <cell r="C61" t="str">
            <v>N</v>
          </cell>
          <cell r="D61" t="str">
            <v>비대상</v>
          </cell>
          <cell r="F61" t="str">
            <v>Data-Trans</v>
          </cell>
          <cell r="G61" t="str">
            <v>관훈빌딩</v>
          </cell>
          <cell r="H61" t="str">
            <v>Datatrans Server</v>
          </cell>
        </row>
        <row r="62">
          <cell r="A62" t="str">
            <v>SKEIMS</v>
          </cell>
          <cell r="B62" t="str">
            <v>NT-CPU-COMPAQ-00613</v>
          </cell>
          <cell r="C62" t="str">
            <v>N</v>
          </cell>
          <cell r="D62" t="str">
            <v>비대상</v>
          </cell>
          <cell r="F62" t="str">
            <v>SKEIMS</v>
          </cell>
          <cell r="G62" t="str">
            <v>SK건설빌딩</v>
          </cell>
          <cell r="H62" t="str">
            <v>Document Server(EIMS)</v>
          </cell>
        </row>
        <row r="63">
          <cell r="A63" t="str">
            <v>A800</v>
          </cell>
          <cell r="B63" t="str">
            <v>NT-CPU-COMPAQ-00679</v>
          </cell>
          <cell r="C63" t="str">
            <v>N</v>
          </cell>
          <cell r="D63" t="str">
            <v>비대상</v>
          </cell>
          <cell r="F63" t="str">
            <v>A800</v>
          </cell>
          <cell r="G63" t="str">
            <v>SK건설빌딩</v>
          </cell>
          <cell r="H63" t="str">
            <v>현재 사용안함</v>
          </cell>
        </row>
        <row r="64">
          <cell r="A64" t="str">
            <v>SKEIMS-02</v>
          </cell>
          <cell r="B64" t="str">
            <v>NT-CPU-COMPAQ-00614</v>
          </cell>
          <cell r="C64" t="str">
            <v>N</v>
          </cell>
          <cell r="D64" t="str">
            <v>비대상</v>
          </cell>
          <cell r="F64" t="str">
            <v>SKEIMS-02</v>
          </cell>
          <cell r="G64" t="str">
            <v>SK건설빌딩</v>
          </cell>
          <cell r="H64" t="str">
            <v>Document Server(EIMS)</v>
          </cell>
        </row>
        <row r="65">
          <cell r="A65" t="str">
            <v>SKDEPART2</v>
          </cell>
          <cell r="B65" t="str">
            <v>NT-CPU-COMPAQ-00601</v>
          </cell>
          <cell r="C65" t="str">
            <v>N</v>
          </cell>
          <cell r="D65" t="str">
            <v>비대상</v>
          </cell>
          <cell r="F65" t="str">
            <v>SKDEPART2</v>
          </cell>
          <cell r="G65" t="str">
            <v>SK건설빌딩</v>
          </cell>
          <cell r="H65" t="str">
            <v>Project File Server</v>
          </cell>
        </row>
        <row r="66">
          <cell r="A66" t="str">
            <v>plant3(old)</v>
          </cell>
          <cell r="B66" t="str">
            <v>NT-CPU-COMPAQ-00603</v>
          </cell>
          <cell r="C66" t="str">
            <v>N</v>
          </cell>
          <cell r="D66" t="str">
            <v>비대상</v>
          </cell>
          <cell r="F66" t="str">
            <v>plant3(old)</v>
          </cell>
          <cell r="G66" t="str">
            <v>SK건설빌딩</v>
          </cell>
          <cell r="H66" t="str">
            <v>Printer Server</v>
          </cell>
        </row>
        <row r="67">
          <cell r="A67" t="str">
            <v>SKEC-BDC1</v>
          </cell>
          <cell r="B67" t="str">
            <v>NT-CPU-COMPAQ-00609</v>
          </cell>
          <cell r="C67" t="str">
            <v>N</v>
          </cell>
          <cell r="D67" t="str">
            <v>비대상</v>
          </cell>
          <cell r="F67" t="str">
            <v>SKEC-BDC1</v>
          </cell>
          <cell r="G67" t="str">
            <v>SK건설빌딩</v>
          </cell>
          <cell r="H67" t="str">
            <v>BDC</v>
          </cell>
        </row>
        <row r="68">
          <cell r="A68" t="str">
            <v>SKEC-DHCP(old)</v>
          </cell>
          <cell r="B68" t="str">
            <v>NT-CPU-COMPAQ-00611</v>
          </cell>
          <cell r="C68" t="str">
            <v>N</v>
          </cell>
          <cell r="D68" t="str">
            <v>비대상</v>
          </cell>
          <cell r="F68" t="str">
            <v>SKEC-DHCP(old)</v>
          </cell>
          <cell r="G68" t="str">
            <v>관훈빌딩</v>
          </cell>
          <cell r="H68" t="str">
            <v>DHCP Server</v>
          </cell>
        </row>
        <row r="69">
          <cell r="A69" t="str">
            <v>skoas-1(old)</v>
          </cell>
          <cell r="B69" t="str">
            <v>NT-CPU-COMPAQ-00623</v>
          </cell>
          <cell r="C69" t="str">
            <v>N</v>
          </cell>
          <cell r="D69" t="str">
            <v>비대상</v>
          </cell>
          <cell r="F69" t="str">
            <v>skoas-1(old)</v>
          </cell>
          <cell r="G69" t="str">
            <v>관훈빌딩</v>
          </cell>
          <cell r="H69" t="str">
            <v>File Server</v>
          </cell>
        </row>
        <row r="70">
          <cell r="A70" t="str">
            <v>SKEC-BDC2(old)</v>
          </cell>
          <cell r="B70" t="str">
            <v>NT-CPU-COMPAQ-00608</v>
          </cell>
          <cell r="C70" t="str">
            <v>N</v>
          </cell>
          <cell r="D70" t="str">
            <v>비대상</v>
          </cell>
          <cell r="F70" t="str">
            <v>SKEC-BDC2(old)</v>
          </cell>
          <cell r="G70" t="str">
            <v>관훈빌딩</v>
          </cell>
          <cell r="H70" t="str">
            <v>BDC</v>
          </cell>
        </row>
        <row r="71">
          <cell r="A71" t="str">
            <v>plant6(old)</v>
          </cell>
          <cell r="B71" t="str">
            <v>NT-CPU-INTERGRAPH-00011</v>
          </cell>
          <cell r="C71" t="str">
            <v>N</v>
          </cell>
          <cell r="D71" t="str">
            <v>비대상</v>
          </cell>
          <cell r="F71" t="str">
            <v>plant6(old)</v>
          </cell>
          <cell r="G71" t="str">
            <v>SK건설빌딩</v>
          </cell>
          <cell r="H71" t="str">
            <v>PDC</v>
          </cell>
        </row>
        <row r="72">
          <cell r="A72" t="str">
            <v>plant1(old)</v>
          </cell>
          <cell r="B72" t="str">
            <v>NT-CPU-COMPAQ-00604</v>
          </cell>
          <cell r="C72" t="str">
            <v>N</v>
          </cell>
          <cell r="D72" t="str">
            <v>비대상</v>
          </cell>
          <cell r="F72" t="str">
            <v>plant1(old)</v>
          </cell>
          <cell r="G72" t="str">
            <v>SK건설빌딩</v>
          </cell>
          <cell r="H72" t="str">
            <v>Printer Server</v>
          </cell>
        </row>
        <row r="73">
          <cell r="A73" t="str">
            <v>skdbs-1</v>
          </cell>
          <cell r="B73" t="str">
            <v>NT-CPU-COMPAQ-00617</v>
          </cell>
          <cell r="C73" t="str">
            <v>N</v>
          </cell>
          <cell r="D73" t="str">
            <v>비대상</v>
          </cell>
          <cell r="F73" t="str">
            <v>skdbs-1</v>
          </cell>
          <cell r="G73" t="str">
            <v>관훈빌딩</v>
          </cell>
          <cell r="H73" t="str">
            <v>EIS</v>
          </cell>
        </row>
        <row r="74">
          <cell r="A74" t="str">
            <v>A1000</v>
          </cell>
          <cell r="B74" t="str">
            <v>NT-CPU-COMPAQ-00680</v>
          </cell>
          <cell r="C74" t="str">
            <v>N</v>
          </cell>
          <cell r="D74" t="str">
            <v>비대상</v>
          </cell>
          <cell r="F74" t="str">
            <v>A1000</v>
          </cell>
          <cell r="G74" t="str">
            <v>관훈빌딩</v>
          </cell>
          <cell r="H74" t="str">
            <v>REFRESH로 인해 사용안함</v>
          </cell>
        </row>
        <row r="75">
          <cell r="A75" t="str">
            <v>skec_eb</v>
          </cell>
          <cell r="B75" t="str">
            <v>NT-CPU-COMPAQ-00630</v>
          </cell>
          <cell r="C75" t="str">
            <v>N</v>
          </cell>
          <cell r="D75" t="str">
            <v>비대상</v>
          </cell>
          <cell r="F75" t="str">
            <v>skec_eb</v>
          </cell>
          <cell r="G75" t="str">
            <v>SK건설빌딩</v>
          </cell>
          <cell r="H75" t="str">
            <v>REFRESH로 인해 사용안함</v>
          </cell>
        </row>
        <row r="76">
          <cell r="A76" t="str">
            <v>SKEIMSRS</v>
          </cell>
          <cell r="B76" t="str">
            <v>NT-CPU-COMPAQ-00612</v>
          </cell>
          <cell r="C76" t="str">
            <v>N</v>
          </cell>
          <cell r="D76" t="str">
            <v>비대상</v>
          </cell>
          <cell r="F76" t="str">
            <v>SKEIMSRS</v>
          </cell>
          <cell r="G76" t="str">
            <v>SK건설빌딩</v>
          </cell>
          <cell r="H76" t="str">
            <v>EIMS 개발</v>
          </cell>
        </row>
        <row r="77">
          <cell r="A77" t="str">
            <v>SKPJTDT2</v>
          </cell>
          <cell r="B77" t="str">
            <v>NT-CPU-COMPAQ-00606</v>
          </cell>
          <cell r="C77" t="str">
            <v>N</v>
          </cell>
          <cell r="D77" t="str">
            <v>비대상</v>
          </cell>
          <cell r="F77" t="str">
            <v>SKPJTDT2</v>
          </cell>
          <cell r="G77" t="str">
            <v>SK건설빌딩</v>
          </cell>
          <cell r="H77" t="str">
            <v>Project File Server</v>
          </cell>
        </row>
        <row r="78">
          <cell r="A78" t="str">
            <v>skeims_01</v>
          </cell>
          <cell r="B78" t="str">
            <v>NT-CPU-COMPAQ-00599</v>
          </cell>
          <cell r="C78" t="str">
            <v>N</v>
          </cell>
          <cell r="D78" t="str">
            <v>비대상</v>
          </cell>
          <cell r="F78" t="str">
            <v>skeims_01</v>
          </cell>
          <cell r="G78" t="str">
            <v>SK건설빌딩</v>
          </cell>
          <cell r="H78" t="str">
            <v>EIMS Server</v>
          </cell>
        </row>
        <row r="79">
          <cell r="A79" t="str">
            <v>plantdb1</v>
          </cell>
          <cell r="B79" t="str">
            <v>NT-CPU-COMPAQ-00600</v>
          </cell>
          <cell r="C79" t="str">
            <v>N</v>
          </cell>
          <cell r="D79" t="str">
            <v>비대상</v>
          </cell>
          <cell r="F79" t="str">
            <v>plantdb1</v>
          </cell>
          <cell r="G79" t="str">
            <v>SK건설빌딩</v>
          </cell>
          <cell r="H79" t="str">
            <v>Intra Web Server</v>
          </cell>
        </row>
        <row r="80">
          <cell r="A80" t="str">
            <v>SKEC-Master</v>
          </cell>
          <cell r="B80" t="str">
            <v>NT-CPU-COMPAQ-00610</v>
          </cell>
          <cell r="C80" t="str">
            <v>N</v>
          </cell>
          <cell r="D80" t="str">
            <v>비대상</v>
          </cell>
          <cell r="F80" t="str">
            <v>SKEC-Master</v>
          </cell>
          <cell r="G80" t="str">
            <v>SK건설빌딩</v>
          </cell>
          <cell r="H80" t="str">
            <v>PDC</v>
          </cell>
        </row>
        <row r="81">
          <cell r="A81" t="str">
            <v>skec_pilot</v>
          </cell>
          <cell r="B81" t="str">
            <v>NT-CPU-COMPAQ-00615</v>
          </cell>
          <cell r="C81" t="str">
            <v>N</v>
          </cell>
          <cell r="D81" t="str">
            <v>비대상</v>
          </cell>
          <cell r="F81" t="str">
            <v>skec_pilot</v>
          </cell>
          <cell r="G81" t="str">
            <v>SK건설빌딩</v>
          </cell>
          <cell r="H81" t="str">
            <v>DMZ Backup Main Server</v>
          </cell>
        </row>
        <row r="82">
          <cell r="A82" t="str">
            <v>skec_mail</v>
          </cell>
          <cell r="B82" t="str">
            <v>NT-CPU-COMPAQ-00619</v>
          </cell>
          <cell r="C82" t="str">
            <v>N</v>
          </cell>
          <cell r="D82" t="str">
            <v>비대상</v>
          </cell>
          <cell r="F82" t="str">
            <v>skec_mail</v>
          </cell>
          <cell r="G82" t="str">
            <v>SK건설빌딩</v>
          </cell>
          <cell r="H82" t="str">
            <v>Notes Mail Server</v>
          </cell>
        </row>
        <row r="83">
          <cell r="A83" t="str">
            <v>inetsrv</v>
          </cell>
          <cell r="B83" t="str">
            <v>NT-CPU-COMPAQ-00624</v>
          </cell>
          <cell r="C83" t="str">
            <v>N</v>
          </cell>
          <cell r="D83" t="str">
            <v>비대상</v>
          </cell>
          <cell r="F83" t="str">
            <v>inetsrv</v>
          </cell>
          <cell r="G83" t="str">
            <v>SK건설빌딩</v>
          </cell>
          <cell r="H83" t="str">
            <v>Web Server</v>
          </cell>
        </row>
        <row r="84">
          <cell r="A84" t="str">
            <v>SMARTPLANT</v>
          </cell>
          <cell r="B84" t="str">
            <v>NT-CPU-INTERGRAPH-00003</v>
          </cell>
          <cell r="C84" t="str">
            <v>N</v>
          </cell>
          <cell r="D84" t="str">
            <v>비대상</v>
          </cell>
          <cell r="F84" t="str">
            <v>SMARTPLANT</v>
          </cell>
          <cell r="G84" t="str">
            <v>SK건설빌딩</v>
          </cell>
          <cell r="H84" t="str">
            <v>3D CAD</v>
          </cell>
        </row>
        <row r="85">
          <cell r="A85" t="str">
            <v>PDS-Other</v>
          </cell>
          <cell r="B85" t="str">
            <v>NT-CPU-INTERGRAPH-00004</v>
          </cell>
          <cell r="C85" t="str">
            <v>N</v>
          </cell>
          <cell r="D85" t="str">
            <v>비대상</v>
          </cell>
          <cell r="F85" t="str">
            <v>PDS-Other</v>
          </cell>
          <cell r="G85" t="str">
            <v>SK건설빌딩</v>
          </cell>
          <cell r="H85" t="str">
            <v>3D CAD</v>
          </cell>
        </row>
        <row r="86">
          <cell r="A86" t="str">
            <v>PDS-DBI</v>
          </cell>
          <cell r="B86" t="str">
            <v>NT-CPU-INTERGRAPH-00005</v>
          </cell>
          <cell r="C86" t="str">
            <v>N</v>
          </cell>
          <cell r="D86" t="str">
            <v>비대상</v>
          </cell>
          <cell r="F86" t="str">
            <v>PDS-DBI</v>
          </cell>
          <cell r="G86" t="str">
            <v>SK건설빌딩</v>
          </cell>
          <cell r="H86" t="str">
            <v>3D CAD</v>
          </cell>
        </row>
        <row r="87">
          <cell r="A87" t="str">
            <v>PDS-FSI</v>
          </cell>
          <cell r="B87" t="str">
            <v>NT-CPU-INTERGRAPH-00006</v>
          </cell>
          <cell r="C87" t="str">
            <v>N</v>
          </cell>
          <cell r="D87" t="str">
            <v>비대상</v>
          </cell>
          <cell r="F87" t="str">
            <v>PDS-FSI</v>
          </cell>
          <cell r="G87" t="str">
            <v>SK건설빌딩</v>
          </cell>
          <cell r="H87" t="str">
            <v>3D CAD</v>
          </cell>
        </row>
        <row r="88">
          <cell r="A88" t="str">
            <v>IpIot-S1</v>
          </cell>
          <cell r="B88" t="str">
            <v>NT-CPU-INTERGRAPH-00007</v>
          </cell>
          <cell r="C88" t="str">
            <v>N</v>
          </cell>
          <cell r="D88" t="str">
            <v>비대상</v>
          </cell>
          <cell r="F88" t="str">
            <v>IpIot-S1</v>
          </cell>
          <cell r="G88" t="str">
            <v>SK건설빌딩</v>
          </cell>
          <cell r="H88" t="str">
            <v>3D CAD</v>
          </cell>
        </row>
        <row r="89">
          <cell r="A89" t="str">
            <v>IpIot-S2</v>
          </cell>
          <cell r="B89" t="str">
            <v>NT-CPU-INTERGRAPH-00008</v>
          </cell>
          <cell r="C89" t="str">
            <v>N</v>
          </cell>
          <cell r="D89" t="str">
            <v>비대상</v>
          </cell>
          <cell r="F89" t="str">
            <v>IpIot-S2</v>
          </cell>
          <cell r="G89" t="str">
            <v>SK건설빌딩</v>
          </cell>
          <cell r="H89" t="str">
            <v>3D CAD</v>
          </cell>
        </row>
        <row r="90">
          <cell r="A90" t="str">
            <v>iplot_s3</v>
          </cell>
          <cell r="B90" t="str">
            <v>NT-CPU-INTERGRAPH-00012</v>
          </cell>
          <cell r="C90" t="str">
            <v>N</v>
          </cell>
          <cell r="D90" t="str">
            <v>비대상</v>
          </cell>
          <cell r="F90" t="str">
            <v>iplot_s3</v>
          </cell>
          <cell r="G90" t="str">
            <v>SK건설빌딩</v>
          </cell>
          <cell r="H90" t="str">
            <v>3D CAD</v>
          </cell>
        </row>
        <row r="91">
          <cell r="A91" t="str">
            <v>isogen_s1</v>
          </cell>
          <cell r="B91" t="str">
            <v>NT-CPU-INTERGRAPH-00013</v>
          </cell>
          <cell r="C91" t="str">
            <v>N</v>
          </cell>
          <cell r="D91" t="str">
            <v>비대상</v>
          </cell>
          <cell r="F91" t="str">
            <v>isogen_s1</v>
          </cell>
          <cell r="G91" t="str">
            <v>SK건설빌딩</v>
          </cell>
          <cell r="H91" t="str">
            <v>3D CAD</v>
          </cell>
        </row>
        <row r="92">
          <cell r="A92" t="str">
            <v>isogen_s2</v>
          </cell>
          <cell r="B92" t="str">
            <v>NT-CPU-INTERGRAPH-00014</v>
          </cell>
          <cell r="C92" t="str">
            <v>N</v>
          </cell>
          <cell r="D92" t="str">
            <v>비대상</v>
          </cell>
          <cell r="F92" t="str">
            <v>isogen_s2</v>
          </cell>
          <cell r="G92" t="str">
            <v>SK건설빌딩</v>
          </cell>
          <cell r="H92" t="str">
            <v>3D CAD</v>
          </cell>
        </row>
        <row r="93">
          <cell r="A93" t="str">
            <v>SKEC-BDC3</v>
          </cell>
          <cell r="B93" t="str">
            <v>NT-CPU-COMPAQ-00607</v>
          </cell>
          <cell r="C93" t="str">
            <v>N</v>
          </cell>
          <cell r="D93" t="str">
            <v>비대상</v>
          </cell>
          <cell r="F93" t="str">
            <v>SKEC-BDC3</v>
          </cell>
          <cell r="G93" t="str">
            <v>SK건설빌딩</v>
          </cell>
          <cell r="H93" t="str">
            <v>BDC</v>
          </cell>
        </row>
        <row r="94">
          <cell r="A94" t="str">
            <v>skec-fw</v>
          </cell>
          <cell r="B94" t="str">
            <v>NT-CPU-COMPAQ-00618</v>
          </cell>
          <cell r="C94" t="str">
            <v>N</v>
          </cell>
          <cell r="D94" t="str">
            <v>비대상</v>
          </cell>
          <cell r="F94" t="str">
            <v>skec-fw</v>
          </cell>
          <cell r="G94" t="str">
            <v>SK건설빌딩</v>
          </cell>
          <cell r="H94" t="str">
            <v>Firewall Server</v>
          </cell>
        </row>
        <row r="95">
          <cell r="A95" t="str">
            <v>cosmos</v>
          </cell>
          <cell r="B95" t="str">
            <v>NT-CPU-COMPAQ-00620</v>
          </cell>
          <cell r="C95" t="str">
            <v>N</v>
          </cell>
          <cell r="D95" t="str">
            <v>비대상</v>
          </cell>
          <cell r="F95" t="str">
            <v>cosmos</v>
          </cell>
          <cell r="G95" t="str">
            <v>SK건설빌딩</v>
          </cell>
          <cell r="H95" t="str">
            <v>NT Mail Server</v>
          </cell>
        </row>
        <row r="96">
          <cell r="A96" t="str">
            <v>skec_tsm</v>
          </cell>
          <cell r="B96" t="str">
            <v>NT-CPU-COMPAQ-00625</v>
          </cell>
          <cell r="C96" t="str">
            <v>N</v>
          </cell>
          <cell r="D96" t="str">
            <v>비대상</v>
          </cell>
          <cell r="F96" t="str">
            <v>skec_tsm</v>
          </cell>
          <cell r="G96" t="str">
            <v>SK건설빌딩</v>
          </cell>
          <cell r="H96" t="str">
            <v>TCO Server</v>
          </cell>
        </row>
        <row r="97">
          <cell r="A97" t="str">
            <v>perf_skec</v>
          </cell>
          <cell r="B97" t="str">
            <v>NT-CPU-COMPAQ-00627</v>
          </cell>
          <cell r="C97" t="str">
            <v>N</v>
          </cell>
          <cell r="D97" t="str">
            <v>비대상</v>
          </cell>
          <cell r="F97" t="str">
            <v>perf_skec</v>
          </cell>
          <cell r="G97" t="str">
            <v>SK건설빌딩</v>
          </cell>
          <cell r="H97" t="str">
            <v>Perfman</v>
          </cell>
        </row>
        <row r="98">
          <cell r="A98" t="str">
            <v>PRIDEC</v>
          </cell>
          <cell r="B98" t="str">
            <v>NT-CPU-COMPAQ-00626</v>
          </cell>
          <cell r="C98" t="str">
            <v>N</v>
          </cell>
          <cell r="D98" t="str">
            <v>비대상</v>
          </cell>
          <cell r="F98" t="str">
            <v>PRIDEC</v>
          </cell>
          <cell r="G98" t="str">
            <v>SK건설빌딩</v>
          </cell>
          <cell r="H98" t="str">
            <v>PRID Server</v>
          </cell>
        </row>
        <row r="99">
          <cell r="A99" t="str">
            <v>SKEC-BDC2</v>
          </cell>
          <cell r="B99" t="str">
            <v>NT-CPU-COMPAQ-00628</v>
          </cell>
          <cell r="C99" t="str">
            <v>N</v>
          </cell>
          <cell r="D99" t="str">
            <v>비대상</v>
          </cell>
          <cell r="F99" t="str">
            <v>SKEC-BDC2</v>
          </cell>
          <cell r="G99" t="str">
            <v>SK건설빌딩</v>
          </cell>
          <cell r="H99" t="str">
            <v>File Server</v>
          </cell>
        </row>
        <row r="100">
          <cell r="A100" t="str">
            <v>NS</v>
          </cell>
          <cell r="B100" t="str">
            <v>NT-CPU-COMPAQ-00632</v>
          </cell>
          <cell r="C100" t="str">
            <v>N</v>
          </cell>
          <cell r="D100" t="str">
            <v>비대상</v>
          </cell>
          <cell r="F100" t="str">
            <v>NS</v>
          </cell>
          <cell r="G100" t="str">
            <v>SK건설빌딩</v>
          </cell>
          <cell r="H100" t="str">
            <v>DNS, DHCP Server</v>
          </cell>
        </row>
        <row r="101">
          <cell r="A101" t="str">
            <v>skpjtdt3</v>
          </cell>
          <cell r="B101" t="str">
            <v>NT-CPU-COMPAQ-00633</v>
          </cell>
          <cell r="C101" t="str">
            <v>N</v>
          </cell>
          <cell r="D101" t="str">
            <v>비대상</v>
          </cell>
          <cell r="F101" t="str">
            <v>skpjtdt3</v>
          </cell>
          <cell r="G101" t="str">
            <v>SK건설빌딩</v>
          </cell>
          <cell r="H101" t="str">
            <v>Project File Server</v>
          </cell>
        </row>
        <row r="102">
          <cell r="A102" t="str">
            <v>PLANT6</v>
          </cell>
          <cell r="B102" t="str">
            <v>NT-CPU-COMPAQ-00634</v>
          </cell>
          <cell r="C102" t="str">
            <v>N</v>
          </cell>
          <cell r="D102" t="str">
            <v>비대상</v>
          </cell>
          <cell r="F102" t="str">
            <v>PLANT6</v>
          </cell>
          <cell r="G102" t="str">
            <v>SK건설빌딩</v>
          </cell>
          <cell r="H102" t="str">
            <v>PDC (plant)</v>
          </cell>
        </row>
        <row r="103">
          <cell r="A103" t="str">
            <v>SKDEPART</v>
          </cell>
          <cell r="B103" t="str">
            <v>NT-CPU-COMPAQ-00635</v>
          </cell>
          <cell r="C103" t="str">
            <v>N</v>
          </cell>
          <cell r="D103" t="str">
            <v>비대상</v>
          </cell>
          <cell r="F103" t="str">
            <v>SKDEPART</v>
          </cell>
          <cell r="G103" t="str">
            <v>SK건설빌딩</v>
          </cell>
          <cell r="H103" t="str">
            <v>Project File Server</v>
          </cell>
        </row>
        <row r="104">
          <cell r="A104" t="str">
            <v>SKEC_ARC</v>
          </cell>
          <cell r="B104" t="str">
            <v>NT-CPU-COMPAQ-00636</v>
          </cell>
          <cell r="C104" t="str">
            <v>N</v>
          </cell>
          <cell r="D104" t="str">
            <v>비대상</v>
          </cell>
          <cell r="F104" t="str">
            <v>SKEC_ARC</v>
          </cell>
          <cell r="G104" t="str">
            <v>SK건설빌딩</v>
          </cell>
          <cell r="H104" t="str">
            <v>Backup Server</v>
          </cell>
        </row>
        <row r="105">
          <cell r="A105" t="str">
            <v>SKEC_RPMAA</v>
          </cell>
          <cell r="B105" t="str">
            <v>NT-CPU-COMPAQ-00637</v>
          </cell>
          <cell r="C105" t="str">
            <v>N</v>
          </cell>
          <cell r="D105" t="str">
            <v>비대상</v>
          </cell>
          <cell r="F105" t="str">
            <v>SKEC_RPMAA</v>
          </cell>
          <cell r="G105" t="str">
            <v>SK건설빌딩</v>
          </cell>
          <cell r="H105" t="str">
            <v>Project WEB , File Server</v>
          </cell>
        </row>
        <row r="106">
          <cell r="A106" t="str">
            <v>KMPJT1</v>
          </cell>
          <cell r="B106" t="str">
            <v>NT-CPU-COMPAQ-00638</v>
          </cell>
          <cell r="C106" t="str">
            <v>N</v>
          </cell>
          <cell r="D106" t="str">
            <v>비대상</v>
          </cell>
          <cell r="F106" t="str">
            <v>KMPJT1</v>
          </cell>
          <cell r="G106" t="str">
            <v>SK건설빌딩</v>
          </cell>
          <cell r="H106" t="str">
            <v>KM Project File Server</v>
          </cell>
        </row>
        <row r="107">
          <cell r="A107" t="str">
            <v>KM_KB</v>
          </cell>
          <cell r="B107" t="str">
            <v>NT-CPU-COMPAQ-00639</v>
          </cell>
          <cell r="C107" t="str">
            <v>N</v>
          </cell>
          <cell r="D107" t="str">
            <v>비대상</v>
          </cell>
          <cell r="F107" t="str">
            <v>KM_KB</v>
          </cell>
          <cell r="G107" t="str">
            <v>SK건설빌딩</v>
          </cell>
          <cell r="H107" t="str">
            <v>KM용 Oracle DB Server</v>
          </cell>
        </row>
        <row r="108">
          <cell r="A108" t="str">
            <v>KM_EDMS</v>
          </cell>
          <cell r="B108" t="str">
            <v>NT-CPU-COMPAQ-00640</v>
          </cell>
          <cell r="C108" t="str">
            <v>N</v>
          </cell>
          <cell r="D108" t="str">
            <v>비대상</v>
          </cell>
          <cell r="F108" t="str">
            <v>KM_EDMS</v>
          </cell>
          <cell r="G108" t="str">
            <v>SK건설빌딩</v>
          </cell>
          <cell r="H108" t="str">
            <v>KM EDMS용 Oracle DB server</v>
          </cell>
        </row>
        <row r="109">
          <cell r="A109" t="str">
            <v>KM_KB2</v>
          </cell>
          <cell r="B109" t="str">
            <v>NT-CPU-COMPAQ-00641</v>
          </cell>
          <cell r="C109" t="str">
            <v>N</v>
          </cell>
          <cell r="D109" t="str">
            <v>비대상</v>
          </cell>
          <cell r="F109" t="str">
            <v>KM_KB2</v>
          </cell>
          <cell r="G109" t="str">
            <v>SK건설빌딩</v>
          </cell>
          <cell r="H109" t="str">
            <v>KM용 WorkFlow</v>
          </cell>
        </row>
        <row r="110">
          <cell r="A110" t="str">
            <v>KM01</v>
          </cell>
          <cell r="B110" t="str">
            <v>NT-CPU-COMPAQ-00642</v>
          </cell>
          <cell r="C110" t="str">
            <v>N</v>
          </cell>
          <cell r="D110" t="str">
            <v>비대상</v>
          </cell>
          <cell r="F110" t="str">
            <v>KM01</v>
          </cell>
          <cell r="G110" t="str">
            <v>SK건설빌딩</v>
          </cell>
          <cell r="H110" t="str">
            <v>KM용 Web Server</v>
          </cell>
        </row>
        <row r="111">
          <cell r="A111" t="str">
            <v>KM02</v>
          </cell>
          <cell r="B111" t="str">
            <v>NT-CPU-COMPAQ-00643</v>
          </cell>
          <cell r="C111" t="str">
            <v>N</v>
          </cell>
          <cell r="D111" t="str">
            <v>비대상</v>
          </cell>
          <cell r="F111" t="str">
            <v>KM02</v>
          </cell>
          <cell r="G111" t="str">
            <v>SK건설빌딩</v>
          </cell>
          <cell r="H111" t="str">
            <v>KM용 Web Server</v>
          </cell>
        </row>
        <row r="112">
          <cell r="A112" t="str">
            <v>KMNOTES</v>
          </cell>
          <cell r="B112" t="str">
            <v>NT-CPU-COMPAQ-00644</v>
          </cell>
          <cell r="C112" t="str">
            <v>N</v>
          </cell>
          <cell r="D112" t="str">
            <v>비대상</v>
          </cell>
          <cell r="F112" t="str">
            <v>KMNOTES</v>
          </cell>
          <cell r="G112" t="str">
            <v>SK건설빌딩</v>
          </cell>
          <cell r="H112" t="str">
            <v>KM Notes Server</v>
          </cell>
        </row>
        <row r="113">
          <cell r="A113" t="str">
            <v>SKESMS-APP</v>
          </cell>
          <cell r="B113" t="str">
            <v>NT-CPU-COMPAQ-00650</v>
          </cell>
          <cell r="C113" t="str">
            <v>N</v>
          </cell>
          <cell r="D113" t="str">
            <v>비대상</v>
          </cell>
          <cell r="F113" t="str">
            <v>SKESMS-APP</v>
          </cell>
          <cell r="G113" t="str">
            <v>SK건설빌딩</v>
          </cell>
          <cell r="H113" t="str">
            <v>외주관리 시스템</v>
          </cell>
        </row>
        <row r="114">
          <cell r="A114" t="str">
            <v>SKIMMS_APP</v>
          </cell>
          <cell r="B114" t="str">
            <v>NT-CPU-COMPAQ-00651</v>
          </cell>
          <cell r="C114" t="str">
            <v>N</v>
          </cell>
          <cell r="D114" t="str">
            <v>비대상</v>
          </cell>
          <cell r="F114" t="str">
            <v>SKIMMS_APP</v>
          </cell>
          <cell r="G114" t="str">
            <v>SK건설빌딩</v>
          </cell>
          <cell r="H114" t="str">
            <v>통합자재/구매관리 시스템</v>
          </cell>
        </row>
        <row r="115">
          <cell r="A115" t="str">
            <v>SKCOST_DB2</v>
          </cell>
          <cell r="B115" t="str">
            <v>NT-CPU-COMPAQ-00652</v>
          </cell>
          <cell r="C115" t="str">
            <v>N</v>
          </cell>
          <cell r="D115" t="str">
            <v>비대상</v>
          </cell>
          <cell r="F115" t="str">
            <v>SKCOST_DB2</v>
          </cell>
          <cell r="G115" t="str">
            <v>SK건설빌딩</v>
          </cell>
          <cell r="H115" t="str">
            <v>원가관련 DB SERVER</v>
          </cell>
        </row>
        <row r="116">
          <cell r="A116" t="str">
            <v>SKCOST_DB1</v>
          </cell>
          <cell r="B116" t="str">
            <v>NT-CPU-COMPAQ-00653</v>
          </cell>
          <cell r="C116" t="str">
            <v>N</v>
          </cell>
          <cell r="D116" t="str">
            <v>비대상</v>
          </cell>
          <cell r="F116" t="str">
            <v>SKCOST_DB1</v>
          </cell>
          <cell r="G116" t="str">
            <v>SK건설빌딩</v>
          </cell>
          <cell r="H116" t="str">
            <v>원가관련 DB SERVER</v>
          </cell>
        </row>
        <row r="117">
          <cell r="A117" t="str">
            <v>SKIMMS-DOC</v>
          </cell>
          <cell r="B117" t="str">
            <v>NT-CPU-COMPAQ-00655</v>
          </cell>
          <cell r="C117" t="str">
            <v>N</v>
          </cell>
          <cell r="D117" t="str">
            <v>비대상</v>
          </cell>
          <cell r="F117" t="str">
            <v>SKIMMS-DOC</v>
          </cell>
          <cell r="G117" t="str">
            <v>SK건설빌딩</v>
          </cell>
          <cell r="H117" t="str">
            <v>통합자재/구매관리 시스템</v>
          </cell>
        </row>
        <row r="118">
          <cell r="A118" t="str">
            <v>IDS-Internal</v>
          </cell>
          <cell r="B118" t="str">
            <v>NT-CPU-COMPAQ-00656</v>
          </cell>
          <cell r="C118" t="str">
            <v>N</v>
          </cell>
          <cell r="D118" t="str">
            <v>비대상</v>
          </cell>
          <cell r="F118" t="str">
            <v>IDS-Internal</v>
          </cell>
          <cell r="G118" t="str">
            <v>SK건설빌딩</v>
          </cell>
          <cell r="H118" t="str">
            <v>IDS시스템 구축</v>
          </cell>
        </row>
        <row r="119">
          <cell r="A119" t="str">
            <v>IDS-External</v>
          </cell>
          <cell r="B119" t="str">
            <v>NT-CPU-COMPAQ-00657</v>
          </cell>
          <cell r="C119" t="str">
            <v>N</v>
          </cell>
          <cell r="D119" t="str">
            <v>비대상</v>
          </cell>
          <cell r="F119" t="str">
            <v>IDS-External</v>
          </cell>
          <cell r="G119" t="str">
            <v>SK건설빌딩</v>
          </cell>
          <cell r="H119" t="str">
            <v>IDS시스템 구축</v>
          </cell>
        </row>
        <row r="120">
          <cell r="A120" t="str">
            <v>FW2</v>
          </cell>
          <cell r="B120" t="str">
            <v>NT-CPU-COMPAQ-00658</v>
          </cell>
          <cell r="C120" t="str">
            <v>N</v>
          </cell>
          <cell r="D120" t="str">
            <v>비대상</v>
          </cell>
          <cell r="F120" t="str">
            <v>FW2</v>
          </cell>
          <cell r="G120" t="str">
            <v>SK건설빌딩</v>
          </cell>
          <cell r="H120" t="str">
            <v>IDS시스템 구축</v>
          </cell>
        </row>
        <row r="121">
          <cell r="A121" t="str">
            <v>SKQMS_APP</v>
          </cell>
          <cell r="B121" t="str">
            <v>NT-CPU-COMPAQ-00659</v>
          </cell>
          <cell r="C121" t="str">
            <v>N</v>
          </cell>
          <cell r="D121" t="str">
            <v>비대상</v>
          </cell>
          <cell r="F121" t="str">
            <v>SKQMS_APP</v>
          </cell>
          <cell r="G121" t="str">
            <v>SK건설빌딩</v>
          </cell>
          <cell r="H121" t="str">
            <v>MIDS 서버도입</v>
          </cell>
        </row>
        <row r="122">
          <cell r="A122" t="str">
            <v>fw3</v>
          </cell>
          <cell r="B122" t="str">
            <v>NT-CPU-COMPAQ-00660</v>
          </cell>
          <cell r="C122" t="str">
            <v>N</v>
          </cell>
          <cell r="D122" t="str">
            <v>비대상</v>
          </cell>
          <cell r="F122" t="str">
            <v>fw3</v>
          </cell>
          <cell r="G122" t="str">
            <v>관훈빌딩</v>
          </cell>
          <cell r="H122" t="str">
            <v>FW구축 Project</v>
          </cell>
        </row>
        <row r="123">
          <cell r="A123" t="str">
            <v>SKPJTDT1</v>
          </cell>
          <cell r="B123" t="str">
            <v>NT-CPU-COMPAQ-10020</v>
          </cell>
          <cell r="C123" t="str">
            <v>N</v>
          </cell>
          <cell r="D123" t="str">
            <v>비대상</v>
          </cell>
          <cell r="F123" t="str">
            <v>SKPJTDT1</v>
          </cell>
          <cell r="G123" t="str">
            <v>관훈빌딩</v>
          </cell>
          <cell r="H123" t="str">
            <v>SK건설 광양발전소 프로젝트용 File Server</v>
          </cell>
        </row>
        <row r="124">
          <cell r="B124" t="str">
            <v>NT-CPU-COMPAQ-00710</v>
          </cell>
          <cell r="C124" t="str">
            <v>N</v>
          </cell>
          <cell r="D124" t="str">
            <v>비대상</v>
          </cell>
          <cell r="G124" t="str">
            <v>관훈빌딩</v>
          </cell>
          <cell r="H124" t="str">
            <v>IDS시스템 구축</v>
          </cell>
        </row>
        <row r="125">
          <cell r="A125" t="str">
            <v>NS</v>
          </cell>
          <cell r="B125" t="str">
            <v>NT-CPU-COMPAQ-00715</v>
          </cell>
          <cell r="C125" t="str">
            <v>N</v>
          </cell>
          <cell r="D125" t="str">
            <v>비대상</v>
          </cell>
          <cell r="F125" t="str">
            <v>NS</v>
          </cell>
          <cell r="G125" t="str">
            <v>관훈빌딩</v>
          </cell>
          <cell r="H125" t="str">
            <v>DHCP(국내현장)</v>
          </cell>
        </row>
        <row r="126">
          <cell r="B126" t="str">
            <v>NT-CPU-COMPAQ-00716</v>
          </cell>
          <cell r="C126" t="str">
            <v>N</v>
          </cell>
          <cell r="D126" t="str">
            <v>비대상</v>
          </cell>
          <cell r="G126" t="str">
            <v>관훈빌딩</v>
          </cell>
          <cell r="H126" t="str">
            <v>MES TFT구매요청건(현재사용안함)</v>
          </cell>
        </row>
      </sheetData>
      <sheetData sheetId="11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비고</v>
          </cell>
          <cell r="F1" t="str">
            <v>Function</v>
          </cell>
          <cell r="G1" t="str">
            <v>Sub-Function</v>
          </cell>
          <cell r="H1" t="str">
            <v>Platform</v>
          </cell>
          <cell r="I1" t="str">
            <v>Location</v>
          </cell>
          <cell r="J1" t="str">
            <v>적용업무1</v>
          </cell>
        </row>
        <row r="2">
          <cell r="E2" t="str">
            <v>ApplicationID</v>
          </cell>
        </row>
        <row r="3">
          <cell r="A3" t="str">
            <v>SK_OLAP</v>
          </cell>
          <cell r="B3" t="str">
            <v>NT-CPU-NCR-00001</v>
          </cell>
          <cell r="C3" t="str">
            <v>N</v>
          </cell>
          <cell r="E3" t="str">
            <v>ROLAP</v>
          </cell>
          <cell r="I3" t="str">
            <v>SK서린빌딩</v>
          </cell>
          <cell r="J3" t="str">
            <v>OK Cashbag OLAP 서버</v>
          </cell>
        </row>
        <row r="4">
          <cell r="A4" t="str">
            <v>없음</v>
          </cell>
          <cell r="B4" t="str">
            <v>UX-CPU-기타-00009</v>
          </cell>
          <cell r="C4" t="str">
            <v>N</v>
          </cell>
          <cell r="E4" t="str">
            <v>ActionDB</v>
          </cell>
          <cell r="I4" t="str">
            <v>SK건설본사</v>
          </cell>
          <cell r="J4" t="str">
            <v>printer</v>
          </cell>
        </row>
        <row r="5">
          <cell r="A5" t="str">
            <v>SK-MOLAP</v>
          </cell>
          <cell r="B5" t="str">
            <v>NT-CPU-NCR-00004</v>
          </cell>
          <cell r="C5" t="str">
            <v>N</v>
          </cell>
          <cell r="E5" t="str">
            <v>ESV</v>
          </cell>
          <cell r="I5" t="str">
            <v>대덕CDC</v>
          </cell>
          <cell r="J5" t="str">
            <v>MOLAP Server</v>
          </cell>
        </row>
        <row r="6">
          <cell r="A6" t="str">
            <v>SK-MOLAP</v>
          </cell>
          <cell r="B6" t="str">
            <v>NT-CPU-NCR-00004</v>
          </cell>
          <cell r="C6" t="str">
            <v>N</v>
          </cell>
          <cell r="E6" t="str">
            <v>KFA</v>
          </cell>
          <cell r="I6" t="str">
            <v>대덕CDC</v>
          </cell>
          <cell r="J6" t="str">
            <v>MOLAP Server</v>
          </cell>
        </row>
        <row r="7">
          <cell r="A7" t="str">
            <v>DBM_GIS</v>
          </cell>
          <cell r="B7" t="e">
            <v>#N/A</v>
          </cell>
          <cell r="C7" t="str">
            <v>N</v>
          </cell>
          <cell r="E7" t="str">
            <v>GMAT</v>
          </cell>
          <cell r="I7" t="e">
            <v>#N/A</v>
          </cell>
          <cell r="J7" t="e">
            <v>#N/A</v>
          </cell>
        </row>
        <row r="8">
          <cell r="A8" t="str">
            <v>OAHQTA1</v>
          </cell>
          <cell r="B8" t="str">
            <v>NT-CPU-COMPAQ-00101</v>
          </cell>
          <cell r="C8" t="str">
            <v>Y</v>
          </cell>
          <cell r="D8" t="str">
            <v>A</v>
          </cell>
          <cell r="E8" t="str">
            <v>IOK-MAIL</v>
          </cell>
          <cell r="I8" t="str">
            <v>SK서린빌딩</v>
          </cell>
          <cell r="J8" t="str">
            <v>Notes 메일 서버 2</v>
          </cell>
        </row>
        <row r="9">
          <cell r="A9" t="str">
            <v>OAHQTB</v>
          </cell>
          <cell r="B9" t="str">
            <v>NT-CPU-COMPAQ-00123</v>
          </cell>
          <cell r="C9" t="str">
            <v>Y</v>
          </cell>
          <cell r="D9" t="str">
            <v>A</v>
          </cell>
          <cell r="E9" t="str">
            <v>IOK-MAIL</v>
          </cell>
          <cell r="I9" t="str">
            <v>대덕DDC</v>
          </cell>
          <cell r="J9" t="str">
            <v>대덕 노츠 메일 서버</v>
          </cell>
        </row>
        <row r="10">
          <cell r="A10" t="str">
            <v>OACLXA1</v>
          </cell>
          <cell r="B10" t="str">
            <v>NT-CPU-COMPAQ-00166</v>
          </cell>
          <cell r="C10" t="str">
            <v>Y</v>
          </cell>
          <cell r="D10" t="str">
            <v>A</v>
          </cell>
          <cell r="E10" t="str">
            <v>IOK-MAIL</v>
          </cell>
          <cell r="I10" t="str">
            <v>울산CLX</v>
          </cell>
          <cell r="J10" t="str">
            <v>CLX메일 이중화</v>
          </cell>
        </row>
        <row r="11">
          <cell r="A11" t="str">
            <v>OAHQTC</v>
          </cell>
          <cell r="B11" t="str">
            <v>NT-CPU-COMPAQ-00103</v>
          </cell>
          <cell r="C11" t="str">
            <v>Y</v>
          </cell>
          <cell r="D11" t="str">
            <v>B</v>
          </cell>
          <cell r="E11" t="str">
            <v>IOK-게시판</v>
          </cell>
          <cell r="I11" t="str">
            <v>SK서린빌딩</v>
          </cell>
          <cell r="J11" t="str">
            <v>Notes 본사게시판 서버</v>
          </cell>
        </row>
        <row r="12">
          <cell r="A12" t="str">
            <v>OAHQTB</v>
          </cell>
          <cell r="B12" t="str">
            <v>NT-CPU-COMPAQ-00123</v>
          </cell>
          <cell r="C12" t="str">
            <v>Y</v>
          </cell>
          <cell r="D12" t="str">
            <v>B</v>
          </cell>
          <cell r="E12" t="str">
            <v>IOK-게시판</v>
          </cell>
          <cell r="I12" t="str">
            <v>대덕DDC</v>
          </cell>
          <cell r="J12" t="str">
            <v>대덕 노츠 메일 서버</v>
          </cell>
        </row>
        <row r="13">
          <cell r="A13" t="str">
            <v>OACLXB</v>
          </cell>
          <cell r="B13" t="str">
            <v>NT-CPU-COMPAQ-00135</v>
          </cell>
          <cell r="C13" t="str">
            <v>Y</v>
          </cell>
          <cell r="D13" t="str">
            <v>B</v>
          </cell>
          <cell r="E13" t="str">
            <v>IOK-게시판</v>
          </cell>
          <cell r="I13" t="str">
            <v>울산CLX</v>
          </cell>
          <cell r="J13" t="str">
            <v>SKCLX 게시판 Notes 서버</v>
          </cell>
        </row>
        <row r="14">
          <cell r="A14" t="str">
            <v>APHQTA</v>
          </cell>
          <cell r="B14" t="str">
            <v>NT-CPU-COMPAQ-00056</v>
          </cell>
          <cell r="C14" t="str">
            <v>Y</v>
          </cell>
          <cell r="D14" t="str">
            <v>A</v>
          </cell>
          <cell r="E14" t="str">
            <v>IOK-전자결재</v>
          </cell>
          <cell r="I14" t="str">
            <v>SK서린빌딩</v>
          </cell>
          <cell r="J14" t="str">
            <v>NOTES 결재 서버</v>
          </cell>
        </row>
        <row r="15">
          <cell r="A15" t="str">
            <v>APCLXA</v>
          </cell>
          <cell r="B15" t="str">
            <v>NT-CPU-COMPAQ-00164</v>
          </cell>
          <cell r="C15" t="str">
            <v>Y</v>
          </cell>
          <cell r="D15" t="str">
            <v>A</v>
          </cell>
          <cell r="E15" t="str">
            <v>IOK-전자결재</v>
          </cell>
          <cell r="I15" t="str">
            <v>울산CLX</v>
          </cell>
          <cell r="J15" t="str">
            <v>전자결재서버</v>
          </cell>
        </row>
        <row r="16">
          <cell r="A16" t="str">
            <v>APHQTB</v>
          </cell>
          <cell r="B16" t="str">
            <v>NT-CPU-COMPAQ-00121</v>
          </cell>
          <cell r="C16" t="str">
            <v>Y</v>
          </cell>
          <cell r="D16" t="str">
            <v>A</v>
          </cell>
          <cell r="E16" t="str">
            <v>IOK-전자결재</v>
          </cell>
          <cell r="I16" t="str">
            <v>대덕DDC</v>
          </cell>
          <cell r="J16" t="str">
            <v>대덕 전자문서함 서버(Lotus)</v>
          </cell>
        </row>
        <row r="17">
          <cell r="A17" t="str">
            <v>EDMHQTA</v>
          </cell>
          <cell r="B17" t="str">
            <v>NT-CPU-COMPAQ-00098</v>
          </cell>
          <cell r="C17" t="str">
            <v>Y</v>
          </cell>
          <cell r="D17" t="str">
            <v>B</v>
          </cell>
          <cell r="E17" t="str">
            <v>IOK-전자문서함</v>
          </cell>
          <cell r="I17" t="str">
            <v>SK서린빌딩</v>
          </cell>
          <cell r="J17" t="str">
            <v>노츠 문서함 서버</v>
          </cell>
        </row>
        <row r="18">
          <cell r="A18" t="str">
            <v>EDMHQTB</v>
          </cell>
          <cell r="B18" t="str">
            <v>NT-CPU-COMPAQ-00124</v>
          </cell>
          <cell r="C18" t="str">
            <v>Y</v>
          </cell>
          <cell r="D18" t="str">
            <v>B</v>
          </cell>
          <cell r="E18" t="str">
            <v>IOK-전자문서함</v>
          </cell>
          <cell r="I18" t="str">
            <v>대덕DDC</v>
          </cell>
          <cell r="J18" t="str">
            <v>대덕 노츠문서함　서버</v>
          </cell>
        </row>
        <row r="19">
          <cell r="A19" t="str">
            <v>EDMCLXA</v>
          </cell>
          <cell r="B19" t="str">
            <v>NT-CPU-COMPAQ-00148</v>
          </cell>
          <cell r="C19" t="str">
            <v>Y</v>
          </cell>
          <cell r="D19" t="str">
            <v>B</v>
          </cell>
          <cell r="E19" t="str">
            <v>IOK-전자문서함</v>
          </cell>
          <cell r="I19" t="str">
            <v>울산CLX</v>
          </cell>
          <cell r="J19" t="str">
            <v>전자문서함</v>
          </cell>
        </row>
        <row r="20">
          <cell r="A20" t="str">
            <v>KMHQT2</v>
          </cell>
          <cell r="B20" t="str">
            <v>NT-CPU-COMPAQ-00677</v>
          </cell>
          <cell r="C20" t="str">
            <v>Y</v>
          </cell>
          <cell r="D20" t="str">
            <v>B</v>
          </cell>
          <cell r="E20" t="str">
            <v>IOK-TOPIC</v>
          </cell>
          <cell r="I20" t="str">
            <v>SK서린빌딩</v>
          </cell>
          <cell r="J20" t="str">
            <v>NOTES KM 서버</v>
          </cell>
        </row>
        <row r="21">
          <cell r="A21" t="str">
            <v>OAHQTC</v>
          </cell>
          <cell r="B21" t="str">
            <v>NT-CPU-COMPAQ-00103</v>
          </cell>
          <cell r="C21" t="str">
            <v>Y</v>
          </cell>
          <cell r="D21" t="str">
            <v>B</v>
          </cell>
          <cell r="E21" t="str">
            <v>IOK-COMMUNICATION</v>
          </cell>
          <cell r="I21" t="str">
            <v>SK서린빌딩</v>
          </cell>
          <cell r="J21" t="str">
            <v>Notes 본사게시판 서버</v>
          </cell>
        </row>
        <row r="22">
          <cell r="A22" t="str">
            <v>OAHQTB</v>
          </cell>
          <cell r="B22" t="str">
            <v>NT-CPU-COMPAQ-00123</v>
          </cell>
          <cell r="C22" t="str">
            <v>Y</v>
          </cell>
          <cell r="D22" t="str">
            <v>B</v>
          </cell>
          <cell r="E22" t="str">
            <v>IOK-COMMUNICATION</v>
          </cell>
          <cell r="I22" t="str">
            <v>대덕DDC</v>
          </cell>
          <cell r="J22" t="str">
            <v>대덕 노츠 메일 서버</v>
          </cell>
        </row>
        <row r="23">
          <cell r="A23" t="str">
            <v>OACLXB</v>
          </cell>
          <cell r="B23" t="str">
            <v>NT-CPU-COMPAQ-00135</v>
          </cell>
          <cell r="C23" t="str">
            <v>Y</v>
          </cell>
          <cell r="D23" t="str">
            <v>B</v>
          </cell>
          <cell r="E23" t="str">
            <v>IOK-COMMUNICATION</v>
          </cell>
          <cell r="I23" t="str">
            <v>울산CLX</v>
          </cell>
          <cell r="J23" t="str">
            <v>SKCLX 게시판 Notes 서버</v>
          </cell>
        </row>
        <row r="24">
          <cell r="A24" t="str">
            <v>KMCOM</v>
          </cell>
          <cell r="B24" t="str">
            <v>NT-CPU-COMPAQ-00676</v>
          </cell>
          <cell r="C24" t="str">
            <v>Y</v>
          </cell>
          <cell r="D24" t="str">
            <v>B</v>
          </cell>
          <cell r="E24" t="str">
            <v>IOK-COMMUNITY</v>
          </cell>
          <cell r="I24" t="str">
            <v>SK서린빌딩</v>
          </cell>
          <cell r="J24" t="str">
            <v>Notes 본사 COMMUNITY 서버</v>
          </cell>
        </row>
        <row r="25">
          <cell r="A25" t="str">
            <v>KMCLX2</v>
          </cell>
          <cell r="B25" t="str">
            <v>NT-CPU-COMPAQ-00159</v>
          </cell>
          <cell r="C25" t="str">
            <v>Y</v>
          </cell>
          <cell r="D25" t="str">
            <v>B</v>
          </cell>
          <cell r="E25" t="str">
            <v>IOK-COMMUNITY</v>
          </cell>
          <cell r="I25" t="str">
            <v>울산CLX</v>
          </cell>
          <cell r="J25" t="str">
            <v>KM SERVER (2th)</v>
          </cell>
        </row>
        <row r="26">
          <cell r="A26" t="str">
            <v>KMHQT2</v>
          </cell>
          <cell r="B26" t="str">
            <v>NT-CPU-COMPAQ-00677</v>
          </cell>
          <cell r="C26" t="str">
            <v>Y</v>
          </cell>
          <cell r="D26" t="str">
            <v>B</v>
          </cell>
          <cell r="E26" t="str">
            <v>IOK-K-DB</v>
          </cell>
          <cell r="I26" t="str">
            <v>SK서린빌딩</v>
          </cell>
          <cell r="J26" t="str">
            <v>NOTES KM 서버</v>
          </cell>
        </row>
        <row r="27">
          <cell r="A27" t="str">
            <v>KMHQT3</v>
          </cell>
          <cell r="B27" t="e">
            <v>#N/A</v>
          </cell>
          <cell r="C27" t="str">
            <v>Y</v>
          </cell>
          <cell r="D27" t="str">
            <v>B</v>
          </cell>
          <cell r="E27" t="str">
            <v>IOK-K-DB</v>
          </cell>
          <cell r="I27" t="e">
            <v>#N/A</v>
          </cell>
          <cell r="J27" t="e">
            <v>#N/A</v>
          </cell>
        </row>
        <row r="28">
          <cell r="A28" t="str">
            <v>KMCLX</v>
          </cell>
          <cell r="B28" t="str">
            <v>NT-CPU-COMPAQ-00154</v>
          </cell>
          <cell r="C28" t="str">
            <v>Y</v>
          </cell>
          <cell r="D28" t="str">
            <v>B</v>
          </cell>
          <cell r="E28" t="str">
            <v>IOK-K-DB</v>
          </cell>
          <cell r="I28" t="str">
            <v>울산CLX</v>
          </cell>
          <cell r="J28" t="str">
            <v>CLX KM SERVER</v>
          </cell>
        </row>
        <row r="29">
          <cell r="A29" t="str">
            <v>KMHQT2</v>
          </cell>
          <cell r="B29" t="str">
            <v>NT-CPU-COMPAQ-00677</v>
          </cell>
          <cell r="C29" t="str">
            <v>Y</v>
          </cell>
          <cell r="D29" t="str">
            <v>B</v>
          </cell>
          <cell r="E29" t="str">
            <v>IOK-지식/활용사례등록</v>
          </cell>
          <cell r="I29" t="str">
            <v>SK서린빌딩</v>
          </cell>
          <cell r="J29" t="str">
            <v>NOTES KM 서버</v>
          </cell>
        </row>
        <row r="30">
          <cell r="A30" t="str">
            <v>KANTDEV</v>
          </cell>
          <cell r="B30" t="str">
            <v>NT-CPU-COMPAQ-00018</v>
          </cell>
          <cell r="C30" t="str">
            <v>Y</v>
          </cell>
          <cell r="D30" t="str">
            <v>B</v>
          </cell>
          <cell r="E30" t="str">
            <v>IOK-KANT</v>
          </cell>
          <cell r="I30" t="str">
            <v>SK서린빌딩</v>
          </cell>
          <cell r="J30" t="str">
            <v>K-Point 실적조회 서버</v>
          </cell>
        </row>
        <row r="31">
          <cell r="A31" t="str">
            <v>KMHQT2</v>
          </cell>
          <cell r="B31" t="str">
            <v>NT-CPU-COMPAQ-00677</v>
          </cell>
          <cell r="C31" t="str">
            <v>Y</v>
          </cell>
          <cell r="D31" t="str">
            <v>B</v>
          </cell>
          <cell r="E31" t="str">
            <v>IOK-SOLUTIONPACK</v>
          </cell>
          <cell r="I31" t="str">
            <v>SK서린빌딩</v>
          </cell>
          <cell r="J31" t="str">
            <v>NOTES KM 서버</v>
          </cell>
        </row>
        <row r="32">
          <cell r="A32" t="str">
            <v>OACLXA1</v>
          </cell>
          <cell r="B32" t="str">
            <v>NT-CPU-COMPAQ-00166</v>
          </cell>
          <cell r="C32" t="str">
            <v>Y</v>
          </cell>
          <cell r="D32" t="str">
            <v>B</v>
          </cell>
          <cell r="E32" t="str">
            <v>IOK-CLX</v>
          </cell>
          <cell r="I32" t="str">
            <v>울산CLX</v>
          </cell>
          <cell r="J32" t="str">
            <v>CLX메일 이중화</v>
          </cell>
        </row>
        <row r="33">
          <cell r="A33" t="str">
            <v>OACLXB</v>
          </cell>
          <cell r="B33" t="str">
            <v>NT-CPU-COMPAQ-00135</v>
          </cell>
          <cell r="C33" t="str">
            <v>Y</v>
          </cell>
          <cell r="D33" t="str">
            <v>B</v>
          </cell>
          <cell r="E33" t="str">
            <v>IOK-CLX</v>
          </cell>
          <cell r="I33" t="str">
            <v>울산CLX</v>
          </cell>
          <cell r="J33" t="str">
            <v>SKCLX 게시판 Notes 서버</v>
          </cell>
        </row>
        <row r="34">
          <cell r="A34" t="str">
            <v>OACLXC</v>
          </cell>
          <cell r="B34" t="str">
            <v>NT-CPU-COMPAQ-00136</v>
          </cell>
          <cell r="C34" t="str">
            <v>Y</v>
          </cell>
          <cell r="D34" t="str">
            <v>B</v>
          </cell>
          <cell r="E34" t="str">
            <v>IOK-CLX</v>
          </cell>
          <cell r="I34" t="str">
            <v>울산CLX</v>
          </cell>
          <cell r="J34" t="str">
            <v>SKCLX 적용업무 Notes 서버</v>
          </cell>
        </row>
        <row r="35">
          <cell r="A35" t="str">
            <v>SK_OLAP</v>
          </cell>
          <cell r="B35" t="str">
            <v>NT-CPU-NCR-00001</v>
          </cell>
          <cell r="C35" t="str">
            <v>Y</v>
          </cell>
          <cell r="D35" t="str">
            <v>C</v>
          </cell>
          <cell r="E35" t="str">
            <v>OLAP</v>
          </cell>
          <cell r="I35" t="str">
            <v>SK서린빌딩</v>
          </cell>
          <cell r="J35" t="str">
            <v>OK Cashbag OLAP 서버</v>
          </cell>
        </row>
        <row r="36">
          <cell r="A36" t="str">
            <v>Sieb_GW</v>
          </cell>
          <cell r="B36" t="str">
            <v>NT-CPU-COMPAQ-00125</v>
          </cell>
          <cell r="C36" t="str">
            <v>Y</v>
          </cell>
          <cell r="D36" t="str">
            <v>C</v>
          </cell>
          <cell r="E36" t="str">
            <v>Siebel Callcenter</v>
          </cell>
          <cell r="I36" t="str">
            <v>대덕CDC</v>
          </cell>
          <cell r="J36" t="str">
            <v>B2B EC Transaction운영서버</v>
          </cell>
        </row>
        <row r="37">
          <cell r="A37" t="str">
            <v>skweb2</v>
          </cell>
          <cell r="B37" t="str">
            <v>NT-CPU-COMPAQ-00055</v>
          </cell>
          <cell r="C37" t="str">
            <v>Y</v>
          </cell>
          <cell r="D37" t="str">
            <v>C</v>
          </cell>
          <cell r="E37" t="str">
            <v>www.skmip.com</v>
          </cell>
          <cell r="I37" t="str">
            <v>SK서린빌딩</v>
          </cell>
          <cell r="J37" t="str">
            <v>CEO 홈페이지 외 Web Server</v>
          </cell>
        </row>
        <row r="38">
          <cell r="A38" t="str">
            <v>learn</v>
          </cell>
          <cell r="B38" t="str">
            <v>NT-CPU-COMPAQ-00036</v>
          </cell>
          <cell r="C38" t="str">
            <v>Y</v>
          </cell>
          <cell r="D38" t="str">
            <v>C</v>
          </cell>
          <cell r="E38" t="str">
            <v>www.Learnplus.co.kr</v>
          </cell>
          <cell r="I38" t="str">
            <v>SK서린빌딩</v>
          </cell>
          <cell r="J38" t="str">
            <v>SK 직능교육 시스템 서버(LearnPlu</v>
          </cell>
        </row>
        <row r="39">
          <cell r="A39" t="str">
            <v>skweb2</v>
          </cell>
          <cell r="B39" t="str">
            <v>NT-CPU-COMPAQ-00055</v>
          </cell>
          <cell r="C39" t="str">
            <v>Y</v>
          </cell>
          <cell r="D39" t="str">
            <v>C</v>
          </cell>
          <cell r="E39" t="str">
            <v>www.finechemsource.com</v>
          </cell>
          <cell r="I39" t="str">
            <v>SK서린빌딩</v>
          </cell>
          <cell r="J39" t="str">
            <v>CEO 홈페이지 외 Web Server</v>
          </cell>
        </row>
        <row r="40">
          <cell r="A40" t="str">
            <v>skweb2</v>
          </cell>
          <cell r="B40" t="str">
            <v>NT-CPU-COMPAQ-00055</v>
          </cell>
          <cell r="C40" t="str">
            <v>Y</v>
          </cell>
          <cell r="D40" t="str">
            <v>C</v>
          </cell>
          <cell r="E40" t="str">
            <v>www.skcorp.com</v>
          </cell>
          <cell r="I40" t="str">
            <v>SK서린빌딩</v>
          </cell>
          <cell r="J40" t="str">
            <v>CEO 홈페이지 외 Web Server</v>
          </cell>
        </row>
        <row r="41">
          <cell r="A41" t="str">
            <v>skweb1</v>
          </cell>
          <cell r="B41" t="str">
            <v>NT-CPU-COMPAQ-00044</v>
          </cell>
          <cell r="C41" t="str">
            <v>Y</v>
          </cell>
          <cell r="D41" t="str">
            <v>C</v>
          </cell>
          <cell r="E41" t="str">
            <v>www.taewonchey.pe.kr</v>
          </cell>
          <cell r="I41" t="str">
            <v>SK서린빌딩</v>
          </cell>
          <cell r="J41" t="str">
            <v>주식회사 홈페이지 Web 서버</v>
          </cell>
        </row>
        <row r="42">
          <cell r="A42" t="str">
            <v>skweb2</v>
          </cell>
          <cell r="B42" t="str">
            <v>NT-CPU-COMPAQ-00055</v>
          </cell>
          <cell r="C42" t="str">
            <v>Y</v>
          </cell>
          <cell r="D42" t="str">
            <v>C</v>
          </cell>
          <cell r="E42" t="str">
            <v>pcs.skcorp.com</v>
          </cell>
          <cell r="I42" t="str">
            <v>SK서린빌딩</v>
          </cell>
          <cell r="J42" t="str">
            <v>CEO 홈페이지 외 Web Server</v>
          </cell>
        </row>
        <row r="43">
          <cell r="A43" t="str">
            <v>webpetro</v>
          </cell>
          <cell r="B43" t="str">
            <v>NT-CPU-COMPAQ-00061</v>
          </cell>
          <cell r="C43" t="str">
            <v>Y</v>
          </cell>
          <cell r="D43" t="str">
            <v>C</v>
          </cell>
          <cell r="E43" t="str">
            <v>www.e-sk.co.kr</v>
          </cell>
          <cell r="I43" t="str">
            <v>SK서린빌딩</v>
          </cell>
          <cell r="J43" t="str">
            <v>WEB 개발용서버</v>
          </cell>
        </row>
        <row r="44">
          <cell r="A44" t="str">
            <v>webpetro</v>
          </cell>
          <cell r="B44" t="str">
            <v>NT-CPU-COMPAQ-00061</v>
          </cell>
          <cell r="C44" t="str">
            <v>Y</v>
          </cell>
          <cell r="D44" t="str">
            <v>C</v>
          </cell>
          <cell r="E44" t="str">
            <v>www.yubase.com/kor</v>
          </cell>
          <cell r="I44" t="str">
            <v>SK서린빌딩</v>
          </cell>
          <cell r="J44" t="str">
            <v>WEB 개발용서버</v>
          </cell>
        </row>
        <row r="45">
          <cell r="A45" t="str">
            <v>skweb2</v>
          </cell>
          <cell r="B45" t="str">
            <v>NT-CPU-COMPAQ-00055</v>
          </cell>
          <cell r="C45" t="str">
            <v>Y</v>
          </cell>
          <cell r="D45" t="str">
            <v>C</v>
          </cell>
          <cell r="E45" t="str">
            <v>www.skzic.com/eng</v>
          </cell>
          <cell r="I45" t="str">
            <v>SK서린빌딩</v>
          </cell>
          <cell r="J45" t="str">
            <v>CEO 홈페이지 외 Web Server</v>
          </cell>
        </row>
        <row r="46">
          <cell r="A46" t="str">
            <v>webpetro</v>
          </cell>
          <cell r="B46" t="str">
            <v>NT-CPU-COMPAQ-00061</v>
          </cell>
          <cell r="C46" t="str">
            <v>Y</v>
          </cell>
          <cell r="D46" t="str">
            <v>C</v>
          </cell>
          <cell r="E46" t="str">
            <v>www.skbitumen.com</v>
          </cell>
          <cell r="I46" t="str">
            <v>SK서린빌딩</v>
          </cell>
          <cell r="J46" t="str">
            <v>WEB 개발용서버</v>
          </cell>
        </row>
        <row r="47">
          <cell r="A47" t="str">
            <v>webpetro</v>
          </cell>
          <cell r="B47" t="str">
            <v>NT-CPU-COMPAQ-00061</v>
          </cell>
          <cell r="C47" t="str">
            <v>Y</v>
          </cell>
          <cell r="D47" t="str">
            <v>C</v>
          </cell>
          <cell r="E47" t="str">
            <v>www.skaviation.com</v>
          </cell>
          <cell r="I47" t="str">
            <v>SK서린빌딩</v>
          </cell>
          <cell r="J47" t="str">
            <v>WEB 개발용서버</v>
          </cell>
        </row>
        <row r="48">
          <cell r="A48" t="str">
            <v>skweb5</v>
          </cell>
          <cell r="B48" t="str">
            <v>NT-CPU-IBM-00113</v>
          </cell>
          <cell r="C48" t="str">
            <v>Y</v>
          </cell>
          <cell r="D48" t="str">
            <v>C</v>
          </cell>
          <cell r="E48" t="str">
            <v>www.skntis.com</v>
          </cell>
          <cell r="I48" t="str">
            <v>SK서린빌딩</v>
          </cell>
          <cell r="J48" t="str">
            <v>석유 시작 동향분석 WEB 서버</v>
          </cell>
        </row>
        <row r="49">
          <cell r="A49" t="str">
            <v>skweb2</v>
          </cell>
          <cell r="B49" t="str">
            <v>NT-CPU-COMPAQ-00055</v>
          </cell>
          <cell r="C49" t="str">
            <v>Y</v>
          </cell>
          <cell r="D49" t="str">
            <v>C</v>
          </cell>
          <cell r="E49" t="str">
            <v>www.lubeok.com</v>
          </cell>
          <cell r="I49" t="str">
            <v>SK서린빌딩</v>
          </cell>
          <cell r="J49" t="str">
            <v>CEO 홈페이지 외 Web Server</v>
          </cell>
        </row>
        <row r="50">
          <cell r="A50" t="str">
            <v>cetus</v>
          </cell>
          <cell r="B50" t="str">
            <v>NT-CPU-COMPAQ-00005</v>
          </cell>
          <cell r="C50" t="str">
            <v>Y</v>
          </cell>
          <cell r="D50" t="str">
            <v>C</v>
          </cell>
          <cell r="E50" t="str">
            <v>www.skfc.com</v>
          </cell>
          <cell r="I50" t="str">
            <v>SK서린빌딩</v>
          </cell>
          <cell r="J50" t="str">
            <v>SK축구단 Site Web Server</v>
          </cell>
        </row>
        <row r="51">
          <cell r="A51" t="str">
            <v>skweb3</v>
          </cell>
          <cell r="B51" t="str">
            <v>NT-CPU-COMPAQ-00046</v>
          </cell>
          <cell r="C51" t="str">
            <v>Y</v>
          </cell>
          <cell r="D51" t="str">
            <v>C</v>
          </cell>
          <cell r="E51" t="str">
            <v>www.skzic.com</v>
          </cell>
          <cell r="I51" t="str">
            <v>SK서린빌딩</v>
          </cell>
          <cell r="J51" t="str">
            <v>화학 홈페이지외 9개 Web 서버</v>
          </cell>
        </row>
        <row r="52">
          <cell r="A52" t="str">
            <v>skweb3</v>
          </cell>
          <cell r="B52" t="str">
            <v>NT-CPU-COMPAQ-00046</v>
          </cell>
          <cell r="C52" t="str">
            <v>Y</v>
          </cell>
          <cell r="D52" t="str">
            <v>C</v>
          </cell>
          <cell r="E52" t="str">
            <v>www.skasphalt.com</v>
          </cell>
          <cell r="I52" t="str">
            <v>SK서린빌딩</v>
          </cell>
          <cell r="J52" t="str">
            <v>화학 홈페이지외 9개 Web 서버</v>
          </cell>
        </row>
        <row r="53">
          <cell r="A53" t="str">
            <v>skweb3</v>
          </cell>
          <cell r="B53" t="str">
            <v>NT-CPU-COMPAQ-00046</v>
          </cell>
          <cell r="C53" t="str">
            <v>Y</v>
          </cell>
          <cell r="D53" t="str">
            <v>C</v>
          </cell>
          <cell r="E53" t="str">
            <v>www.skmarine.com</v>
          </cell>
          <cell r="I53" t="str">
            <v>SK서린빌딩</v>
          </cell>
          <cell r="J53" t="str">
            <v>화학 홈페이지외 9개 Web 서버</v>
          </cell>
        </row>
        <row r="54">
          <cell r="A54" t="str">
            <v>skweb3</v>
          </cell>
          <cell r="B54" t="str">
            <v>NT-CPU-COMPAQ-00046</v>
          </cell>
          <cell r="C54" t="str">
            <v>Y</v>
          </cell>
          <cell r="D54" t="str">
            <v>C</v>
          </cell>
          <cell r="E54" t="str">
            <v>www.sklpg.co.kr</v>
          </cell>
          <cell r="I54" t="str">
            <v>SK서린빌딩</v>
          </cell>
          <cell r="J54" t="str">
            <v>화학 홈페이지외 9개 Web 서버</v>
          </cell>
        </row>
        <row r="55">
          <cell r="A55" t="str">
            <v>GISO</v>
          </cell>
          <cell r="B55" t="str">
            <v>UX-CPU-IBM-00031</v>
          </cell>
          <cell r="C55" t="str">
            <v>Y</v>
          </cell>
          <cell r="D55" t="str">
            <v>C</v>
          </cell>
          <cell r="E55" t="str">
            <v>TOPS</v>
          </cell>
          <cell r="H55" t="str">
            <v>C/S</v>
          </cell>
          <cell r="I55" t="str">
            <v>울산CLX</v>
          </cell>
          <cell r="J55" t="str">
            <v>일반업무관리</v>
          </cell>
        </row>
        <row r="56">
          <cell r="A56" t="str">
            <v>CLXDAMS</v>
          </cell>
          <cell r="B56" t="str">
            <v>NT-CPU-COMPAQ-00138</v>
          </cell>
          <cell r="C56" t="str">
            <v>Y</v>
          </cell>
          <cell r="D56" t="str">
            <v>C</v>
          </cell>
          <cell r="E56" t="str">
            <v>LOTAS</v>
          </cell>
          <cell r="I56" t="str">
            <v>울산CLX</v>
          </cell>
          <cell r="J56" t="str">
            <v>근태관리시스템</v>
          </cell>
        </row>
        <row r="57">
          <cell r="A57" t="str">
            <v>GISO</v>
          </cell>
          <cell r="B57" t="str">
            <v>UX-CPU-IBM-00031</v>
          </cell>
          <cell r="C57" t="str">
            <v>Y</v>
          </cell>
          <cell r="D57" t="str">
            <v>C</v>
          </cell>
          <cell r="E57" t="str">
            <v>IDEA</v>
          </cell>
          <cell r="I57" t="str">
            <v>울산CLX</v>
          </cell>
          <cell r="J57" t="str">
            <v>일반업무관리</v>
          </cell>
        </row>
        <row r="58">
          <cell r="A58" t="str">
            <v>GISO</v>
          </cell>
          <cell r="B58" t="str">
            <v>UX-CPU-IBM-00031</v>
          </cell>
          <cell r="C58" t="str">
            <v>Y</v>
          </cell>
          <cell r="D58" t="str">
            <v>C</v>
          </cell>
          <cell r="E58" t="str">
            <v>CARS</v>
          </cell>
          <cell r="I58" t="str">
            <v>울산CLX</v>
          </cell>
          <cell r="J58" t="str">
            <v>일반업무관리</v>
          </cell>
        </row>
        <row r="59">
          <cell r="A59" t="str">
            <v>ASOS3NT</v>
          </cell>
          <cell r="B59" t="str">
            <v>NT-CPU-COMPAQ-00129</v>
          </cell>
          <cell r="C59" t="str">
            <v>Y</v>
          </cell>
          <cell r="D59" t="str">
            <v>B</v>
          </cell>
          <cell r="E59" t="str">
            <v>ASOS</v>
          </cell>
          <cell r="I59" t="str">
            <v>울산CLX</v>
          </cell>
          <cell r="J59" t="str">
            <v>아스팔트출하시스템</v>
          </cell>
        </row>
        <row r="60">
          <cell r="A60" t="str">
            <v>RTC</v>
          </cell>
          <cell r="B60" t="e">
            <v>#N/A</v>
          </cell>
          <cell r="C60" t="str">
            <v>Y</v>
          </cell>
          <cell r="D60" t="str">
            <v>B</v>
          </cell>
          <cell r="E60" t="str">
            <v>RTC</v>
          </cell>
          <cell r="I60" t="e">
            <v>#N/A</v>
          </cell>
          <cell r="J60" t="e">
            <v>#N/A</v>
          </cell>
        </row>
        <row r="61">
          <cell r="A61" t="str">
            <v>RTC</v>
          </cell>
          <cell r="B61" t="e">
            <v>#N/A</v>
          </cell>
          <cell r="C61" t="str">
            <v>Y</v>
          </cell>
          <cell r="D61" t="str">
            <v>C</v>
          </cell>
          <cell r="E61" t="str">
            <v>ROMS</v>
          </cell>
          <cell r="H61" t="str">
            <v>C/S</v>
          </cell>
          <cell r="I61" t="e">
            <v>#N/A</v>
          </cell>
          <cell r="J61" t="e">
            <v>#N/A</v>
          </cell>
        </row>
        <row r="62">
          <cell r="A62" t="str">
            <v>TT</v>
          </cell>
          <cell r="B62" t="str">
            <v>UX-CPU-IBM-00084</v>
          </cell>
          <cell r="C62" t="str">
            <v>Y</v>
          </cell>
          <cell r="D62" t="str">
            <v>D</v>
          </cell>
          <cell r="E62" t="str">
            <v>TTES</v>
          </cell>
          <cell r="I62" t="str">
            <v>울산CLX</v>
          </cell>
          <cell r="J62" t="str">
            <v>트럭 출하</v>
          </cell>
        </row>
        <row r="63">
          <cell r="A63" t="str">
            <v>TT</v>
          </cell>
          <cell r="B63" t="str">
            <v>UX-CPU-IBM-00084</v>
          </cell>
          <cell r="C63" t="str">
            <v>Y</v>
          </cell>
          <cell r="D63" t="str">
            <v>B</v>
          </cell>
          <cell r="E63" t="str">
            <v>T/T</v>
          </cell>
          <cell r="I63" t="str">
            <v>울산CLX</v>
          </cell>
          <cell r="J63" t="str">
            <v>트럭 출하</v>
          </cell>
        </row>
        <row r="64">
          <cell r="A64" t="str">
            <v>SEIS</v>
          </cell>
          <cell r="B64" t="str">
            <v>UX-CPU-IBM-00100</v>
          </cell>
          <cell r="C64" t="str">
            <v>Y</v>
          </cell>
          <cell r="D64" t="str">
            <v>C</v>
          </cell>
          <cell r="E64" t="str">
            <v>LIOMS</v>
          </cell>
          <cell r="I64" t="str">
            <v>울산CLX</v>
          </cell>
          <cell r="J64" t="str">
            <v>폐기물처리시스템</v>
          </cell>
        </row>
        <row r="65">
          <cell r="A65" t="str">
            <v>LIMS</v>
          </cell>
          <cell r="B65" t="str">
            <v>UX-CPU-IBM-00025</v>
          </cell>
          <cell r="C65" t="str">
            <v>Y</v>
          </cell>
          <cell r="D65" t="str">
            <v>A</v>
          </cell>
          <cell r="E65" t="str">
            <v>LAB</v>
          </cell>
          <cell r="I65" t="str">
            <v>울산CLX</v>
          </cell>
          <cell r="J65" t="str">
            <v>실험실업무관리</v>
          </cell>
        </row>
        <row r="66">
          <cell r="A66" t="str">
            <v>SEIS</v>
          </cell>
          <cell r="B66" t="str">
            <v>UX-CPU-IBM-00100</v>
          </cell>
          <cell r="C66" t="str">
            <v>Y</v>
          </cell>
          <cell r="D66" t="str">
            <v>C</v>
          </cell>
          <cell r="E66" t="str">
            <v>IOMS</v>
          </cell>
          <cell r="I66" t="str">
            <v>울산CLX</v>
          </cell>
          <cell r="J66" t="str">
            <v>폐기물처리시스템</v>
          </cell>
        </row>
        <row r="67">
          <cell r="A67" t="str">
            <v>CLXDAMS</v>
          </cell>
          <cell r="B67" t="str">
            <v>NT-CPU-COMPAQ-00138</v>
          </cell>
          <cell r="C67" t="str">
            <v>Y</v>
          </cell>
          <cell r="D67" t="str">
            <v>C</v>
          </cell>
          <cell r="E67" t="str">
            <v>CPMS</v>
          </cell>
          <cell r="I67" t="str">
            <v>울산CLX</v>
          </cell>
          <cell r="J67" t="str">
            <v>근태관리시스템</v>
          </cell>
        </row>
        <row r="68">
          <cell r="A68" t="str">
            <v>GISO</v>
          </cell>
          <cell r="B68" t="str">
            <v>UX-CPU-IBM-00031</v>
          </cell>
          <cell r="C68" t="str">
            <v>Y</v>
          </cell>
          <cell r="D68" t="str">
            <v>C</v>
          </cell>
          <cell r="E68" t="str">
            <v>QCMS</v>
          </cell>
          <cell r="I68" t="str">
            <v>울산CLX</v>
          </cell>
          <cell r="J68" t="str">
            <v>일반업무관리</v>
          </cell>
        </row>
        <row r="69">
          <cell r="A69" t="str">
            <v>TIMS</v>
          </cell>
          <cell r="B69" t="e">
            <v>#N/A</v>
          </cell>
          <cell r="C69" t="str">
            <v>Y</v>
          </cell>
          <cell r="D69" t="str">
            <v>C</v>
          </cell>
          <cell r="E69" t="str">
            <v>EIDMS</v>
          </cell>
          <cell r="I69" t="e">
            <v>#N/A</v>
          </cell>
          <cell r="J69" t="e">
            <v>#N/A</v>
          </cell>
        </row>
        <row r="70">
          <cell r="A70" t="str">
            <v>IDMS</v>
          </cell>
          <cell r="B70" t="str">
            <v>UX-CPU-IBM-00026</v>
          </cell>
          <cell r="C70" t="str">
            <v>Y</v>
          </cell>
          <cell r="D70" t="str">
            <v>C</v>
          </cell>
          <cell r="E70" t="str">
            <v>IDMS</v>
          </cell>
          <cell r="I70" t="str">
            <v>울산CLX</v>
          </cell>
          <cell r="J70" t="str">
            <v>검사업무관리</v>
          </cell>
        </row>
        <row r="71">
          <cell r="A71" t="str">
            <v>TIMS</v>
          </cell>
          <cell r="B71" t="e">
            <v>#N/A</v>
          </cell>
          <cell r="C71" t="str">
            <v>Y</v>
          </cell>
          <cell r="D71" t="str">
            <v>B</v>
          </cell>
          <cell r="E71" t="str">
            <v>TIMS</v>
          </cell>
          <cell r="I71" t="e">
            <v>#N/A</v>
          </cell>
          <cell r="J71" t="e">
            <v>#N/A</v>
          </cell>
        </row>
        <row r="72">
          <cell r="A72" t="str">
            <v>TIMS</v>
          </cell>
          <cell r="B72" t="e">
            <v>#N/A</v>
          </cell>
          <cell r="C72" t="str">
            <v>Y</v>
          </cell>
          <cell r="D72" t="str">
            <v>C</v>
          </cell>
          <cell r="E72" t="str">
            <v>CIMS</v>
          </cell>
          <cell r="I72" t="e">
            <v>#N/A</v>
          </cell>
          <cell r="J72" t="e">
            <v>#N/A</v>
          </cell>
        </row>
        <row r="73">
          <cell r="A73" t="str">
            <v>TIMS</v>
          </cell>
          <cell r="B73" t="e">
            <v>#N/A</v>
          </cell>
          <cell r="C73" t="str">
            <v>Y</v>
          </cell>
          <cell r="D73" t="str">
            <v>C</v>
          </cell>
          <cell r="E73" t="str">
            <v>KPI</v>
          </cell>
          <cell r="I73" t="e">
            <v>#N/A</v>
          </cell>
          <cell r="J73" t="e">
            <v>#N/A</v>
          </cell>
        </row>
        <row r="74">
          <cell r="A74" t="str">
            <v>GISO</v>
          </cell>
          <cell r="B74" t="str">
            <v>UX-CPU-IBM-00031</v>
          </cell>
          <cell r="C74" t="str">
            <v>Y</v>
          </cell>
          <cell r="D74" t="str">
            <v>C</v>
          </cell>
          <cell r="E74" t="str">
            <v>CMAS</v>
          </cell>
          <cell r="I74" t="str">
            <v>울산CLX</v>
          </cell>
          <cell r="J74" t="str">
            <v>일반업무관리</v>
          </cell>
        </row>
        <row r="75">
          <cell r="A75" t="str">
            <v>CLXDAMS</v>
          </cell>
          <cell r="B75" t="str">
            <v>NT-CPU-COMPAQ-00138</v>
          </cell>
          <cell r="C75" t="str">
            <v>Y</v>
          </cell>
          <cell r="D75" t="str">
            <v>C</v>
          </cell>
          <cell r="E75" t="str">
            <v>DAMS</v>
          </cell>
          <cell r="H75" t="str">
            <v>C/S</v>
          </cell>
          <cell r="I75" t="str">
            <v>울산CLX</v>
          </cell>
          <cell r="J75" t="str">
            <v>근태관리시스템</v>
          </cell>
        </row>
        <row r="76">
          <cell r="A76" t="str">
            <v>TMS_ALPHA</v>
          </cell>
          <cell r="B76" t="str">
            <v>NT-CPU-COMPAQ-00140</v>
          </cell>
          <cell r="C76" t="str">
            <v>Y</v>
          </cell>
          <cell r="D76" t="str">
            <v>C</v>
          </cell>
          <cell r="E76" t="str">
            <v>EMS</v>
          </cell>
          <cell r="H76" t="str">
            <v>C/S</v>
          </cell>
          <cell r="I76" t="str">
            <v>울산CLX</v>
          </cell>
          <cell r="J76" t="str">
            <v>Environment data gathering</v>
          </cell>
        </row>
        <row r="77">
          <cell r="A77" t="str">
            <v>SEIS</v>
          </cell>
          <cell r="B77" t="str">
            <v>UX-CPU-IBM-00100</v>
          </cell>
          <cell r="C77" t="str">
            <v>Y</v>
          </cell>
          <cell r="D77" t="str">
            <v>C</v>
          </cell>
          <cell r="E77" t="str">
            <v>SEIS</v>
          </cell>
          <cell r="H77" t="str">
            <v>C/S</v>
          </cell>
          <cell r="I77" t="str">
            <v>울산CLX</v>
          </cell>
          <cell r="J77" t="str">
            <v>폐기물처리시스템</v>
          </cell>
        </row>
        <row r="78">
          <cell r="A78" t="str">
            <v>ICANSVR1</v>
          </cell>
          <cell r="B78" t="e">
            <v>#N/A</v>
          </cell>
          <cell r="C78" t="str">
            <v>Y</v>
          </cell>
          <cell r="D78" t="str">
            <v>C</v>
          </cell>
          <cell r="E78" t="str">
            <v>SKMMS</v>
          </cell>
          <cell r="I78" t="e">
            <v>#N/A</v>
          </cell>
          <cell r="J78" t="e">
            <v>#N/A</v>
          </cell>
        </row>
        <row r="79">
          <cell r="A79" t="str">
            <v>DAS</v>
          </cell>
          <cell r="B79" t="e">
            <v>#N/A</v>
          </cell>
          <cell r="C79" t="str">
            <v>Y</v>
          </cell>
          <cell r="D79" t="str">
            <v>C</v>
          </cell>
          <cell r="E79" t="str">
            <v>SAMS</v>
          </cell>
          <cell r="I79" t="e">
            <v>#N/A</v>
          </cell>
          <cell r="J79" t="e">
            <v>#N/A</v>
          </cell>
        </row>
        <row r="80">
          <cell r="A80" t="str">
            <v>GISO</v>
          </cell>
          <cell r="B80" t="str">
            <v>UX-CPU-IBM-00031</v>
          </cell>
          <cell r="C80" t="str">
            <v>Y</v>
          </cell>
          <cell r="D80" t="str">
            <v>C</v>
          </cell>
          <cell r="E80" t="str">
            <v>HMS</v>
          </cell>
          <cell r="I80" t="str">
            <v>울산CLX</v>
          </cell>
          <cell r="J80" t="str">
            <v>일반업무관리</v>
          </cell>
        </row>
        <row r="81">
          <cell r="A81" t="str">
            <v>TMS_ALPHA</v>
          </cell>
          <cell r="B81" t="str">
            <v>NT-CPU-COMPAQ-00140</v>
          </cell>
          <cell r="C81" t="str">
            <v>Y</v>
          </cell>
          <cell r="D81" t="str">
            <v>C</v>
          </cell>
          <cell r="E81" t="str">
            <v>TMS</v>
          </cell>
          <cell r="H81" t="str">
            <v>C/S</v>
          </cell>
          <cell r="I81" t="str">
            <v>울산CLX</v>
          </cell>
          <cell r="J81" t="str">
            <v>Environment data gathering</v>
          </cell>
        </row>
        <row r="82">
          <cell r="A82" t="str">
            <v>AW01</v>
          </cell>
          <cell r="B82" t="str">
            <v>UX-CPU-IBM-00019</v>
          </cell>
          <cell r="C82" t="str">
            <v>Y</v>
          </cell>
          <cell r="D82" t="str">
            <v>B</v>
          </cell>
          <cell r="E82" t="str">
            <v>AW01</v>
          </cell>
          <cell r="I82" t="str">
            <v>울산CLX</v>
          </cell>
          <cell r="J82" t="str">
            <v>합성수지자동1창고</v>
          </cell>
        </row>
        <row r="83">
          <cell r="A83" t="str">
            <v>AW02</v>
          </cell>
          <cell r="B83" t="e">
            <v>#N/A</v>
          </cell>
          <cell r="C83" t="str">
            <v>Y</v>
          </cell>
          <cell r="D83" t="str">
            <v>A</v>
          </cell>
          <cell r="E83" t="str">
            <v>AW02</v>
          </cell>
          <cell r="I83" t="e">
            <v>#N/A</v>
          </cell>
          <cell r="J83" t="e">
            <v>#N/A</v>
          </cell>
        </row>
        <row r="84">
          <cell r="A84" t="str">
            <v>GISO</v>
          </cell>
          <cell r="B84" t="str">
            <v>UX-CPU-IBM-00031</v>
          </cell>
          <cell r="C84" t="str">
            <v>Y</v>
          </cell>
          <cell r="D84" t="str">
            <v>C</v>
          </cell>
          <cell r="E84" t="str">
            <v>LSS</v>
          </cell>
          <cell r="I84" t="str">
            <v>울산CLX</v>
          </cell>
          <cell r="J84" t="str">
            <v>일반업무관리</v>
          </cell>
        </row>
        <row r="85">
          <cell r="A85" t="str">
            <v>AW02</v>
          </cell>
          <cell r="B85" t="e">
            <v>#N/A</v>
          </cell>
          <cell r="C85" t="str">
            <v>Y</v>
          </cell>
          <cell r="D85" t="str">
            <v>A</v>
          </cell>
          <cell r="E85" t="str">
            <v>PSMS</v>
          </cell>
          <cell r="I85" t="e">
            <v>#N/A</v>
          </cell>
          <cell r="J85" t="e">
            <v>#N/A</v>
          </cell>
        </row>
        <row r="86">
          <cell r="A86" t="str">
            <v>LWMS</v>
          </cell>
          <cell r="B86" t="e">
            <v>#N/A</v>
          </cell>
          <cell r="C86" t="str">
            <v>Y</v>
          </cell>
          <cell r="D86" t="str">
            <v>B</v>
          </cell>
          <cell r="E86" t="str">
            <v>LWMS</v>
          </cell>
          <cell r="H86" t="str">
            <v>C/S</v>
          </cell>
          <cell r="I86" t="e">
            <v>#N/A</v>
          </cell>
          <cell r="J86" t="e">
            <v>#N/A</v>
          </cell>
        </row>
        <row r="87">
          <cell r="A87" t="str">
            <v>GISO</v>
          </cell>
          <cell r="B87" t="str">
            <v>UX-CPU-IBM-00031</v>
          </cell>
          <cell r="C87" t="str">
            <v>Y</v>
          </cell>
          <cell r="D87" t="str">
            <v>C</v>
          </cell>
          <cell r="E87" t="str">
            <v>CATS</v>
          </cell>
          <cell r="I87" t="str">
            <v>울산CLX</v>
          </cell>
          <cell r="J87" t="str">
            <v>일반업무관리</v>
          </cell>
        </row>
        <row r="88">
          <cell r="A88" t="str">
            <v>CLXWEBA</v>
          </cell>
          <cell r="B88" t="str">
            <v>NT-CPU-COMPAQ-00160</v>
          </cell>
          <cell r="C88" t="str">
            <v>Y</v>
          </cell>
          <cell r="D88" t="str">
            <v>C</v>
          </cell>
          <cell r="E88" t="str">
            <v>WWW.SKMSS.COM</v>
          </cell>
          <cell r="I88" t="str">
            <v>울산CLX</v>
          </cell>
          <cell r="J88" t="str">
            <v>WEB SERVER</v>
          </cell>
        </row>
        <row r="89">
          <cell r="A89" t="str">
            <v>CLXWEBB</v>
          </cell>
          <cell r="B89" t="str">
            <v>NT-CPU-COMPAQ-00161</v>
          </cell>
          <cell r="C89" t="str">
            <v>Y</v>
          </cell>
          <cell r="D89" t="str">
            <v>B</v>
          </cell>
          <cell r="E89" t="str">
            <v>WWW.SKTECSOLUTIONS.COM</v>
          </cell>
          <cell r="I89" t="str">
            <v>울산CLX</v>
          </cell>
          <cell r="J89" t="str">
            <v>WEB SERVER</v>
          </cell>
        </row>
        <row r="90">
          <cell r="A90" t="str">
            <v>CLXWEBB</v>
          </cell>
          <cell r="B90" t="str">
            <v>NT-CPU-COMPAQ-00161</v>
          </cell>
          <cell r="C90" t="str">
            <v>Y</v>
          </cell>
          <cell r="D90" t="str">
            <v>B</v>
          </cell>
          <cell r="E90" t="str">
            <v>WWW.SKCOMPLEX.COM</v>
          </cell>
          <cell r="I90" t="str">
            <v>울산CLX</v>
          </cell>
          <cell r="J90" t="str">
            <v>WEB SERVER</v>
          </cell>
        </row>
        <row r="91">
          <cell r="A91" t="str">
            <v>CLXWEBA</v>
          </cell>
          <cell r="B91" t="str">
            <v>NT-CPU-COMPAQ-00160</v>
          </cell>
          <cell r="C91" t="str">
            <v>Y</v>
          </cell>
          <cell r="D91" t="str">
            <v>C</v>
          </cell>
          <cell r="E91" t="str">
            <v>WWW.SKLABZONE.COM</v>
          </cell>
          <cell r="I91" t="str">
            <v>울산CLX</v>
          </cell>
          <cell r="J91" t="str">
            <v>WEB SERVER</v>
          </cell>
        </row>
        <row r="92">
          <cell r="A92" t="str">
            <v>CLXWEBB</v>
          </cell>
          <cell r="B92" t="str">
            <v>NT-CPU-COMPAQ-00161</v>
          </cell>
          <cell r="C92" t="str">
            <v>Y</v>
          </cell>
          <cell r="D92" t="str">
            <v>C</v>
          </cell>
          <cell r="E92" t="str">
            <v>WWW.SKEPLANT.COM</v>
          </cell>
          <cell r="I92" t="str">
            <v>울산CLX</v>
          </cell>
          <cell r="J92" t="str">
            <v>WEB SERVER</v>
          </cell>
        </row>
        <row r="93">
          <cell r="A93" t="str">
            <v>CLXWEBA</v>
          </cell>
          <cell r="B93" t="str">
            <v>NT-CPU-COMPAQ-00160</v>
          </cell>
          <cell r="C93" t="str">
            <v>Y</v>
          </cell>
          <cell r="D93" t="str">
            <v>C</v>
          </cell>
          <cell r="E93" t="str">
            <v>WWW.SKENERGYSAVE.COM</v>
          </cell>
          <cell r="I93" t="str">
            <v>울산CLX</v>
          </cell>
          <cell r="J93" t="str">
            <v>WEB SERVER</v>
          </cell>
        </row>
        <row r="94">
          <cell r="A94" t="str">
            <v>CLXWEBA</v>
          </cell>
          <cell r="B94" t="str">
            <v>NT-CPU-COMPAQ-00160</v>
          </cell>
          <cell r="C94" t="str">
            <v>Y</v>
          </cell>
          <cell r="D94" t="str">
            <v>C</v>
          </cell>
          <cell r="E94" t="str">
            <v>WWW.SKPOWERTECH.COM</v>
          </cell>
          <cell r="I94" t="str">
            <v>울산CLX</v>
          </cell>
          <cell r="J94" t="str">
            <v>WEB SERVER</v>
          </cell>
        </row>
        <row r="95">
          <cell r="A95" t="str">
            <v>CLXWEBA</v>
          </cell>
          <cell r="B95" t="str">
            <v>NT-CPU-COMPAQ-00160</v>
          </cell>
          <cell r="C95" t="str">
            <v>Y</v>
          </cell>
          <cell r="D95" t="str">
            <v>C</v>
          </cell>
          <cell r="E95" t="str">
            <v>WWW.NIRPLUS.COM</v>
          </cell>
          <cell r="I95" t="str">
            <v>울산CLX</v>
          </cell>
          <cell r="J95" t="str">
            <v>WEB SERVER</v>
          </cell>
        </row>
        <row r="96">
          <cell r="A96" t="str">
            <v>CLXWEBB</v>
          </cell>
          <cell r="B96" t="str">
            <v>NT-CPU-COMPAQ-00161</v>
          </cell>
          <cell r="C96" t="str">
            <v>Y</v>
          </cell>
          <cell r="D96" t="str">
            <v>C</v>
          </cell>
          <cell r="E96" t="str">
            <v>WWW.SKM2C.COM</v>
          </cell>
          <cell r="I96" t="str">
            <v>울산CLX</v>
          </cell>
          <cell r="J96" t="str">
            <v>WEB SERVER</v>
          </cell>
        </row>
        <row r="97">
          <cell r="A97" t="str">
            <v>CLXWEBB</v>
          </cell>
          <cell r="B97" t="str">
            <v>NT-CPU-COMPAQ-00161</v>
          </cell>
          <cell r="C97" t="str">
            <v>Y</v>
          </cell>
          <cell r="D97" t="str">
            <v>B</v>
          </cell>
          <cell r="E97" t="str">
            <v>WWW.SKSEAGATE.COM</v>
          </cell>
          <cell r="I97" t="str">
            <v>울산CLX</v>
          </cell>
          <cell r="J97" t="str">
            <v>WEB SERVER</v>
          </cell>
        </row>
        <row r="98">
          <cell r="A98" t="str">
            <v>CLXWEBA</v>
          </cell>
          <cell r="B98" t="str">
            <v>NT-CPU-COMPAQ-00160</v>
          </cell>
          <cell r="C98" t="str">
            <v>Y</v>
          </cell>
          <cell r="D98" t="str">
            <v>C</v>
          </cell>
          <cell r="E98" t="str">
            <v>TOPES.SKCORP.COM</v>
          </cell>
          <cell r="I98" t="str">
            <v>울산CLX</v>
          </cell>
          <cell r="J98" t="str">
            <v>WEB SERVER</v>
          </cell>
        </row>
        <row r="99">
          <cell r="A99" t="str">
            <v>Liberty</v>
          </cell>
          <cell r="B99" t="str">
            <v>UX-CPU-IBM-00120</v>
          </cell>
          <cell r="C99" t="str">
            <v>Y</v>
          </cell>
          <cell r="D99" t="str">
            <v>C</v>
          </cell>
          <cell r="E99" t="str">
            <v>PBPAS</v>
          </cell>
          <cell r="I99" t="str">
            <v>대덕CDC</v>
          </cell>
          <cell r="J99" t="str">
            <v>PBPAS, PMSP, COS</v>
          </cell>
        </row>
        <row r="100">
          <cell r="A100" t="str">
            <v>Punky</v>
          </cell>
          <cell r="B100" t="str">
            <v>UX-CPU-IBM-00123</v>
          </cell>
          <cell r="C100" t="str">
            <v>Y</v>
          </cell>
          <cell r="D100" t="str">
            <v>C</v>
          </cell>
          <cell r="E100" t="str">
            <v>SSM</v>
          </cell>
          <cell r="H100" t="str">
            <v>C/S</v>
          </cell>
          <cell r="I100" t="str">
            <v>대덕CDC</v>
          </cell>
          <cell r="J100" t="str">
            <v>HRIS, YSCS, COMS SSM,PSAS</v>
          </cell>
        </row>
        <row r="101">
          <cell r="A101" t="str">
            <v>Quety</v>
          </cell>
          <cell r="B101" t="str">
            <v>UX-CPU-IBM-00124</v>
          </cell>
          <cell r="C101" t="str">
            <v>Y</v>
          </cell>
          <cell r="D101" t="str">
            <v>B</v>
          </cell>
          <cell r="E101" t="str">
            <v>RADAR</v>
          </cell>
          <cell r="I101" t="str">
            <v>대덕CDC</v>
          </cell>
          <cell r="J101" t="e">
            <v>#N/A</v>
          </cell>
        </row>
        <row r="102">
          <cell r="A102" t="str">
            <v>Aries</v>
          </cell>
          <cell r="B102" t="str">
            <v>NT-CPU-COMPAQ-00010</v>
          </cell>
          <cell r="C102" t="str">
            <v>Y</v>
          </cell>
          <cell r="D102" t="str">
            <v>C</v>
          </cell>
          <cell r="E102" t="str">
            <v>ICMS</v>
          </cell>
          <cell r="H102" t="str">
            <v>C/S</v>
          </cell>
          <cell r="I102" t="str">
            <v>SK서린빌딩</v>
          </cell>
          <cell r="J102" t="str">
            <v>package시스템 서버(제무제표/통계</v>
          </cell>
        </row>
        <row r="103">
          <cell r="A103" t="str">
            <v>싱가폴 현지 Server</v>
          </cell>
          <cell r="B103" t="e">
            <v>#N/A</v>
          </cell>
          <cell r="C103" t="str">
            <v>Y</v>
          </cell>
          <cell r="D103" t="str">
            <v>C</v>
          </cell>
          <cell r="E103" t="str">
            <v>SIMS</v>
          </cell>
          <cell r="I103" t="e">
            <v>#N/A</v>
          </cell>
          <cell r="J103" t="e">
            <v>#N/A</v>
          </cell>
        </row>
        <row r="104">
          <cell r="A104" t="str">
            <v>Aries</v>
          </cell>
          <cell r="B104" t="str">
            <v>NT-CPU-COMPAQ-00010</v>
          </cell>
          <cell r="C104" t="str">
            <v>Y</v>
          </cell>
          <cell r="D104" t="str">
            <v>C</v>
          </cell>
          <cell r="E104" t="str">
            <v>COMB</v>
          </cell>
          <cell r="I104" t="str">
            <v>SK서린빌딩</v>
          </cell>
          <cell r="J104" t="str">
            <v>package시스템 서버(제무제표/통계</v>
          </cell>
        </row>
        <row r="105">
          <cell r="A105" t="str">
            <v>Mercury</v>
          </cell>
          <cell r="B105" t="str">
            <v>NT-CPU-COMPAQ-00007</v>
          </cell>
          <cell r="C105" t="str">
            <v>Y</v>
          </cell>
          <cell r="D105" t="str">
            <v>C</v>
          </cell>
          <cell r="E105" t="str">
            <v>CRS</v>
          </cell>
          <cell r="I105" t="str">
            <v>SK서린빌딩</v>
          </cell>
          <cell r="J105" t="str">
            <v>재무 SQL 적용업무 시스템</v>
          </cell>
        </row>
        <row r="106">
          <cell r="A106" t="str">
            <v>Vega</v>
          </cell>
          <cell r="B106" t="str">
            <v>NT-CPU-COMPAQ-00009</v>
          </cell>
          <cell r="C106" t="str">
            <v>Y</v>
          </cell>
          <cell r="D106" t="str">
            <v>B</v>
          </cell>
          <cell r="E106" t="str">
            <v>EGMS</v>
          </cell>
          <cell r="H106" t="str">
            <v>C/S</v>
          </cell>
          <cell r="I106" t="str">
            <v>SK서린빌딩</v>
          </cell>
          <cell r="J106" t="str">
            <v>석유 SQL 적용업무 시스템</v>
          </cell>
        </row>
        <row r="107">
          <cell r="A107" t="str">
            <v>Yssii</v>
          </cell>
          <cell r="B107" t="str">
            <v>NT-CPU-COMPAQ-00040</v>
          </cell>
          <cell r="C107" t="str">
            <v>Y</v>
          </cell>
          <cell r="D107" t="str">
            <v>B</v>
          </cell>
          <cell r="E107" t="str">
            <v>EGMS</v>
          </cell>
          <cell r="H107" t="str">
            <v>C/S</v>
          </cell>
          <cell r="I107" t="str">
            <v>SK서린빌딩</v>
          </cell>
          <cell r="J107" t="str">
            <v>배치잡 Server</v>
          </cell>
        </row>
        <row r="108">
          <cell r="A108" t="str">
            <v>Vega</v>
          </cell>
          <cell r="B108" t="str">
            <v>NT-CPU-COMPAQ-00009</v>
          </cell>
          <cell r="C108" t="str">
            <v>Y</v>
          </cell>
          <cell r="D108" t="str">
            <v>C</v>
          </cell>
          <cell r="E108" t="str">
            <v>GMS</v>
          </cell>
          <cell r="H108" t="str">
            <v>C/S</v>
          </cell>
          <cell r="I108" t="str">
            <v>SK서린빌딩</v>
          </cell>
          <cell r="J108" t="str">
            <v>석유 SQL 적용업무 시스템</v>
          </cell>
        </row>
        <row r="109">
          <cell r="A109" t="str">
            <v>Yssii</v>
          </cell>
          <cell r="B109" t="str">
            <v>NT-CPU-COMPAQ-00040</v>
          </cell>
          <cell r="C109" t="str">
            <v>Y</v>
          </cell>
          <cell r="D109" t="str">
            <v>C</v>
          </cell>
          <cell r="E109" t="str">
            <v>GMS</v>
          </cell>
          <cell r="H109" t="str">
            <v>C/S</v>
          </cell>
          <cell r="I109" t="str">
            <v>SK서린빌딩</v>
          </cell>
          <cell r="J109" t="str">
            <v>배치잡 Server</v>
          </cell>
        </row>
        <row r="110">
          <cell r="A110" t="str">
            <v>Skdb_c</v>
          </cell>
          <cell r="B110" t="str">
            <v>NT-CPU-IBM-00114</v>
          </cell>
          <cell r="C110" t="str">
            <v>Y</v>
          </cell>
          <cell r="D110" t="str">
            <v>C</v>
          </cell>
          <cell r="E110" t="str">
            <v>TRMS</v>
          </cell>
          <cell r="H110" t="str">
            <v>C/S</v>
          </cell>
          <cell r="I110" t="str">
            <v>SK서린빌딩</v>
          </cell>
          <cell r="J110" t="str">
            <v>급여명세 발송 외 3개 DB서버</v>
          </cell>
        </row>
        <row r="111">
          <cell r="A111" t="str">
            <v>Skweb2</v>
          </cell>
          <cell r="B111" t="str">
            <v>NT-CPU-COMPAQ-00055</v>
          </cell>
          <cell r="C111" t="str">
            <v>Y</v>
          </cell>
          <cell r="D111" t="str">
            <v>C</v>
          </cell>
          <cell r="E111" t="str">
            <v>TRMS</v>
          </cell>
          <cell r="H111" t="str">
            <v>C/S</v>
          </cell>
          <cell r="I111" t="str">
            <v>SK서린빌딩</v>
          </cell>
          <cell r="J111" t="str">
            <v>CEO 홈페이지 외 Web Server</v>
          </cell>
        </row>
        <row r="112">
          <cell r="A112" t="str">
            <v>P01(HOST)</v>
          </cell>
          <cell r="B112" t="e">
            <v>#N/A</v>
          </cell>
          <cell r="C112" t="str">
            <v>Y</v>
          </cell>
          <cell r="D112" t="str">
            <v>C</v>
          </cell>
          <cell r="E112" t="str">
            <v>CAPS</v>
          </cell>
          <cell r="H112" t="str">
            <v>Host</v>
          </cell>
          <cell r="I112" t="e">
            <v>#N/A</v>
          </cell>
          <cell r="J112" t="e">
            <v>#N/A</v>
          </cell>
        </row>
        <row r="113">
          <cell r="A113" t="str">
            <v>Crux</v>
          </cell>
          <cell r="B113" t="str">
            <v>NT-CPU-COMPAQ-00008</v>
          </cell>
          <cell r="C113" t="str">
            <v>Y</v>
          </cell>
          <cell r="D113" t="str">
            <v>C</v>
          </cell>
          <cell r="E113" t="str">
            <v>CIMS</v>
          </cell>
          <cell r="H113" t="str">
            <v>C/S</v>
          </cell>
          <cell r="I113" t="str">
            <v>SK서린빌딩</v>
          </cell>
          <cell r="J113" t="str">
            <v>기획/인총 SQL 적용업무시스템</v>
          </cell>
        </row>
        <row r="114">
          <cell r="A114" t="str">
            <v>Crux</v>
          </cell>
          <cell r="B114" t="str">
            <v>NT-CPU-COMPAQ-00008</v>
          </cell>
          <cell r="C114" t="str">
            <v>Y</v>
          </cell>
          <cell r="D114" t="str">
            <v>C</v>
          </cell>
          <cell r="E114" t="str">
            <v>EPMS</v>
          </cell>
          <cell r="H114" t="str">
            <v>C/S</v>
          </cell>
          <cell r="I114" t="str">
            <v>SK서린빌딩</v>
          </cell>
          <cell r="J114" t="str">
            <v>기획/인총 SQL 적용업무시스템</v>
          </cell>
        </row>
        <row r="115">
          <cell r="A115" t="str">
            <v>Crux</v>
          </cell>
          <cell r="B115" t="str">
            <v>NT-CPU-COMPAQ-00008</v>
          </cell>
          <cell r="C115" t="str">
            <v>Y</v>
          </cell>
          <cell r="D115" t="str">
            <v>C</v>
          </cell>
          <cell r="E115" t="str">
            <v>PMDB</v>
          </cell>
          <cell r="H115" t="str">
            <v>C/S</v>
          </cell>
          <cell r="I115" t="str">
            <v>SK서린빌딩</v>
          </cell>
          <cell r="J115" t="str">
            <v>기획/인총 SQL 적용업무시스템</v>
          </cell>
        </row>
        <row r="116">
          <cell r="A116" t="str">
            <v>없음</v>
          </cell>
          <cell r="B116" t="str">
            <v>UX-CPU-기타-00009</v>
          </cell>
          <cell r="C116" t="str">
            <v>Y</v>
          </cell>
          <cell r="D116" t="str">
            <v>C</v>
          </cell>
          <cell r="E116" t="str">
            <v>CAFÉ</v>
          </cell>
          <cell r="I116" t="str">
            <v>SK건설본사</v>
          </cell>
          <cell r="J116" t="str">
            <v>printer</v>
          </cell>
        </row>
        <row r="117">
          <cell r="A117" t="str">
            <v>없음</v>
          </cell>
          <cell r="B117" t="str">
            <v>UX-CPU-기타-00009</v>
          </cell>
          <cell r="C117" t="str">
            <v>Y</v>
          </cell>
          <cell r="D117" t="str">
            <v>C</v>
          </cell>
          <cell r="E117" t="str">
            <v>IDCARD</v>
          </cell>
          <cell r="H117" t="str">
            <v>C/S</v>
          </cell>
          <cell r="I117" t="str">
            <v>SK건설본사</v>
          </cell>
          <cell r="J117" t="str">
            <v>printer</v>
          </cell>
        </row>
        <row r="118">
          <cell r="A118" t="str">
            <v>Crux</v>
          </cell>
          <cell r="B118" t="str">
            <v>NT-CPU-COMPAQ-00008</v>
          </cell>
          <cell r="C118" t="str">
            <v>Y</v>
          </cell>
          <cell r="D118" t="str">
            <v>C</v>
          </cell>
          <cell r="E118" t="str">
            <v>SKMG</v>
          </cell>
          <cell r="H118" t="str">
            <v>C/S</v>
          </cell>
          <cell r="I118" t="str">
            <v>SK서린빌딩</v>
          </cell>
          <cell r="J118" t="str">
            <v>기획/인총 SQL 적용업무시스템</v>
          </cell>
        </row>
        <row r="119">
          <cell r="A119" t="str">
            <v>Crux</v>
          </cell>
          <cell r="B119" t="str">
            <v>NT-CPU-COMPAQ-00008</v>
          </cell>
          <cell r="C119" t="str">
            <v>Y</v>
          </cell>
          <cell r="D119" t="str">
            <v>C</v>
          </cell>
          <cell r="E119" t="str">
            <v>JCSS</v>
          </cell>
          <cell r="I119" t="str">
            <v>SK서린빌딩</v>
          </cell>
          <cell r="J119" t="str">
            <v>기획/인총 SQL 적용업무시스템</v>
          </cell>
        </row>
        <row r="120">
          <cell r="A120" t="str">
            <v>Crux</v>
          </cell>
          <cell r="B120" t="str">
            <v>NT-CPU-COMPAQ-00008</v>
          </cell>
          <cell r="C120" t="str">
            <v>Y</v>
          </cell>
          <cell r="D120" t="str">
            <v>C</v>
          </cell>
          <cell r="E120" t="str">
            <v>LTOT</v>
          </cell>
          <cell r="H120" t="str">
            <v>C/S</v>
          </cell>
          <cell r="I120" t="str">
            <v>SK서린빌딩</v>
          </cell>
          <cell r="J120" t="str">
            <v>기획/인총 SQL 적용업무시스템</v>
          </cell>
        </row>
        <row r="121">
          <cell r="A121" t="str">
            <v>Crux</v>
          </cell>
          <cell r="B121" t="str">
            <v>NT-CPU-COMPAQ-00008</v>
          </cell>
          <cell r="C121" t="str">
            <v>Y</v>
          </cell>
          <cell r="D121" t="str">
            <v>C</v>
          </cell>
          <cell r="E121" t="str">
            <v>EMD</v>
          </cell>
          <cell r="I121" t="str">
            <v>SK서린빌딩</v>
          </cell>
          <cell r="J121" t="str">
            <v>기획/인총 SQL 적용업무시스템</v>
          </cell>
        </row>
        <row r="122">
          <cell r="A122" t="str">
            <v>Punky</v>
          </cell>
          <cell r="B122" t="str">
            <v>UX-CPU-IBM-00123</v>
          </cell>
          <cell r="C122" t="str">
            <v>Y</v>
          </cell>
          <cell r="D122" t="str">
            <v>C</v>
          </cell>
          <cell r="E122" t="str">
            <v>ARSIS</v>
          </cell>
          <cell r="I122" t="str">
            <v>대덕CDC</v>
          </cell>
          <cell r="J122" t="str">
            <v>HRIS, YSCS, COMS SSM,PSAS</v>
          </cell>
        </row>
        <row r="123">
          <cell r="A123" t="str">
            <v>Arsis2</v>
          </cell>
          <cell r="B123" t="str">
            <v>NT-CPU-COMPAQ-00057</v>
          </cell>
          <cell r="C123" t="str">
            <v>Y</v>
          </cell>
          <cell r="D123" t="str">
            <v>C</v>
          </cell>
          <cell r="E123" t="str">
            <v>ARSIS</v>
          </cell>
          <cell r="I123" t="str">
            <v>SK서린빌딩</v>
          </cell>
          <cell r="J123" t="str">
            <v>매출채권 유동화 시스템</v>
          </cell>
        </row>
        <row r="124">
          <cell r="A124" t="str">
            <v>Mercury</v>
          </cell>
          <cell r="B124" t="str">
            <v>NT-CPU-COMPAQ-00007</v>
          </cell>
          <cell r="C124" t="str">
            <v>Y</v>
          </cell>
          <cell r="D124" t="str">
            <v>C</v>
          </cell>
          <cell r="E124" t="str">
            <v>ARSIS</v>
          </cell>
          <cell r="I124" t="str">
            <v>SK서린빌딩</v>
          </cell>
          <cell r="J124" t="str">
            <v>재무 SQL 적용업무 시스템</v>
          </cell>
        </row>
        <row r="125">
          <cell r="A125" t="str">
            <v>Crux</v>
          </cell>
          <cell r="B125" t="str">
            <v>NT-CPU-COMPAQ-00008</v>
          </cell>
          <cell r="C125" t="str">
            <v>Y</v>
          </cell>
          <cell r="D125" t="str">
            <v>C</v>
          </cell>
          <cell r="E125" t="str">
            <v>DAS</v>
          </cell>
          <cell r="H125" t="str">
            <v>C/S</v>
          </cell>
          <cell r="I125" t="str">
            <v>SK서린빌딩</v>
          </cell>
          <cell r="J125" t="str">
            <v>기획/인총 SQL 적용업무시스템</v>
          </cell>
        </row>
        <row r="126">
          <cell r="A126" t="str">
            <v>Punky</v>
          </cell>
          <cell r="B126" t="str">
            <v>UX-CPU-IBM-00123</v>
          </cell>
          <cell r="C126" t="str">
            <v>Y</v>
          </cell>
          <cell r="D126" t="str">
            <v>C</v>
          </cell>
          <cell r="E126" t="str">
            <v>HRIS</v>
          </cell>
          <cell r="I126" t="str">
            <v>대덕CDC</v>
          </cell>
          <cell r="J126" t="str">
            <v>HRIS, YSCS, COMS SSM,PSAS</v>
          </cell>
        </row>
        <row r="127">
          <cell r="A127" t="str">
            <v>Crux</v>
          </cell>
          <cell r="B127" t="str">
            <v>NT-CPU-COMPAQ-00008</v>
          </cell>
          <cell r="C127" t="str">
            <v>Y</v>
          </cell>
          <cell r="D127" t="str">
            <v>C</v>
          </cell>
          <cell r="E127" t="str">
            <v>LMS</v>
          </cell>
          <cell r="H127" t="str">
            <v>C/S</v>
          </cell>
          <cell r="I127" t="str">
            <v>SK서린빌딩</v>
          </cell>
          <cell r="J127" t="str">
            <v>기획/인총 SQL 적용업무시스템</v>
          </cell>
        </row>
        <row r="128">
          <cell r="A128" t="str">
            <v>SK㈜ 중앙통제실 Server</v>
          </cell>
          <cell r="B128" t="e">
            <v>#N/A</v>
          </cell>
          <cell r="C128" t="str">
            <v>Y</v>
          </cell>
          <cell r="D128" t="str">
            <v>C</v>
          </cell>
          <cell r="E128" t="str">
            <v>CAFM</v>
          </cell>
          <cell r="I128" t="e">
            <v>#N/A</v>
          </cell>
          <cell r="J128" t="e">
            <v>#N/A</v>
          </cell>
        </row>
        <row r="129">
          <cell r="A129" t="str">
            <v>SKDEV_A</v>
          </cell>
          <cell r="B129" t="str">
            <v>NT-CPU-COMPAQ-00047</v>
          </cell>
          <cell r="C129" t="str">
            <v>Y</v>
          </cell>
          <cell r="D129" t="str">
            <v>C</v>
          </cell>
          <cell r="E129" t="str">
            <v>AIMS</v>
          </cell>
          <cell r="H129" t="str">
            <v>Host</v>
          </cell>
          <cell r="I129" t="str">
            <v>SK서린빌딩</v>
          </cell>
          <cell r="J129" t="str">
            <v>SQL 6.5 DB Test 서버</v>
          </cell>
        </row>
        <row r="130">
          <cell r="A130" t="str">
            <v>없음</v>
          </cell>
          <cell r="B130" t="str">
            <v>UX-CPU-기타-00009</v>
          </cell>
          <cell r="C130" t="str">
            <v>Y</v>
          </cell>
          <cell r="D130" t="str">
            <v>C</v>
          </cell>
          <cell r="E130" t="str">
            <v>ERS</v>
          </cell>
          <cell r="I130" t="str">
            <v>SK건설본사</v>
          </cell>
          <cell r="J130" t="str">
            <v>printer</v>
          </cell>
        </row>
        <row r="131">
          <cell r="A131" t="str">
            <v>Crux</v>
          </cell>
          <cell r="B131" t="str">
            <v>NT-CPU-COMPAQ-00008</v>
          </cell>
          <cell r="C131" t="str">
            <v>Y</v>
          </cell>
          <cell r="D131" t="str">
            <v>C</v>
          </cell>
          <cell r="E131" t="str">
            <v>NAS</v>
          </cell>
          <cell r="H131" t="str">
            <v>C/S</v>
          </cell>
          <cell r="I131" t="str">
            <v>SK서린빌딩</v>
          </cell>
          <cell r="J131" t="str">
            <v>기획/인총 SQL 적용업무시스템</v>
          </cell>
        </row>
        <row r="132">
          <cell r="A132" t="str">
            <v>Crux</v>
          </cell>
          <cell r="B132" t="str">
            <v>NT-CPU-COMPAQ-00008</v>
          </cell>
          <cell r="C132" t="str">
            <v>Y</v>
          </cell>
          <cell r="D132" t="str">
            <v>C</v>
          </cell>
          <cell r="E132" t="str">
            <v>SMS</v>
          </cell>
          <cell r="H132" t="str">
            <v>Host</v>
          </cell>
          <cell r="I132" t="str">
            <v>SK서린빌딩</v>
          </cell>
          <cell r="J132" t="str">
            <v>기획/인총 SQL 적용업무시스템</v>
          </cell>
        </row>
        <row r="133">
          <cell r="A133" t="str">
            <v>Epetro</v>
          </cell>
          <cell r="B133" t="str">
            <v>NT-CPU-COMPAQ-00048</v>
          </cell>
          <cell r="C133" t="str">
            <v>Y</v>
          </cell>
          <cell r="D133" t="str">
            <v>C</v>
          </cell>
          <cell r="E133" t="str">
            <v>EPIS</v>
          </cell>
          <cell r="I133" t="str">
            <v>SK서린빌딩</v>
          </cell>
          <cell r="J133" t="str">
            <v>석유개발 기술정보 시스템</v>
          </cell>
        </row>
        <row r="134">
          <cell r="A134" t="str">
            <v>P01(HOST)</v>
          </cell>
          <cell r="B134" t="e">
            <v>#N/A</v>
          </cell>
          <cell r="C134" t="str">
            <v>Y</v>
          </cell>
          <cell r="D134" t="str">
            <v>C</v>
          </cell>
          <cell r="E134" t="str">
            <v>LICS</v>
          </cell>
          <cell r="H134" t="str">
            <v>Host</v>
          </cell>
          <cell r="I134" t="e">
            <v>#N/A</v>
          </cell>
          <cell r="J134" t="e">
            <v>#N/A</v>
          </cell>
        </row>
        <row r="135">
          <cell r="A135" t="str">
            <v>Eis1</v>
          </cell>
          <cell r="B135" t="str">
            <v>NT-CPU-COMPAQ-00004</v>
          </cell>
          <cell r="C135" t="str">
            <v>Y</v>
          </cell>
          <cell r="D135" t="str">
            <v>C</v>
          </cell>
          <cell r="E135" t="str">
            <v>LODS</v>
          </cell>
          <cell r="I135" t="str">
            <v>SK서린빌딩</v>
          </cell>
          <cell r="J135" t="str">
            <v>임원정보용 파일/SQL 서버</v>
          </cell>
        </row>
        <row r="136">
          <cell r="A136" t="str">
            <v>Eis1</v>
          </cell>
          <cell r="B136" t="str">
            <v>NT-CPU-COMPAQ-00004</v>
          </cell>
          <cell r="C136" t="str">
            <v>Y</v>
          </cell>
          <cell r="D136" t="str">
            <v>C</v>
          </cell>
          <cell r="E136" t="str">
            <v>LOFO</v>
          </cell>
          <cell r="I136" t="str">
            <v>SK서린빌딩</v>
          </cell>
          <cell r="J136" t="str">
            <v>임원정보용 파일/SQL 서버</v>
          </cell>
        </row>
        <row r="137">
          <cell r="A137" t="str">
            <v>Leo</v>
          </cell>
          <cell r="B137" t="str">
            <v>NT-CPU-COMPAQ-00011</v>
          </cell>
          <cell r="C137" t="str">
            <v>Y</v>
          </cell>
          <cell r="D137" t="str">
            <v>C</v>
          </cell>
          <cell r="E137" t="str">
            <v>LSAS</v>
          </cell>
          <cell r="H137" t="str">
            <v>C/S</v>
          </cell>
          <cell r="I137" t="str">
            <v>SK서린빌딩</v>
          </cell>
          <cell r="J137" t="str">
            <v>화학 SQL 적용업무 시스템</v>
          </cell>
        </row>
        <row r="138">
          <cell r="A138" t="str">
            <v>Leo</v>
          </cell>
          <cell r="B138" t="str">
            <v>NT-CPU-COMPAQ-00011</v>
          </cell>
          <cell r="C138" t="str">
            <v>Y</v>
          </cell>
          <cell r="D138" t="str">
            <v>B</v>
          </cell>
          <cell r="E138" t="str">
            <v>LBC</v>
          </cell>
          <cell r="H138" t="str">
            <v>C/S</v>
          </cell>
          <cell r="I138" t="str">
            <v>SK서린빌딩</v>
          </cell>
          <cell r="J138" t="str">
            <v>화학 SQL 적용업무 시스템</v>
          </cell>
        </row>
        <row r="139">
          <cell r="A139" t="str">
            <v>Aries</v>
          </cell>
          <cell r="B139" t="str">
            <v>NT-CPU-COMPAQ-00010</v>
          </cell>
          <cell r="C139" t="str">
            <v>Y</v>
          </cell>
          <cell r="D139" t="str">
            <v>C</v>
          </cell>
          <cell r="E139" t="str">
            <v>LBIS</v>
          </cell>
          <cell r="H139" t="str">
            <v>C/S</v>
          </cell>
          <cell r="I139" t="str">
            <v>SK서린빌딩</v>
          </cell>
          <cell r="J139" t="str">
            <v>package시스템 서버(제무제표/통계</v>
          </cell>
        </row>
        <row r="140">
          <cell r="A140" t="str">
            <v>Cetus</v>
          </cell>
          <cell r="B140" t="str">
            <v>NT-CPU-COMPAQ-00005</v>
          </cell>
          <cell r="C140" t="str">
            <v>Y</v>
          </cell>
          <cell r="D140" t="str">
            <v>C</v>
          </cell>
          <cell r="E140" t="str">
            <v>LBIS</v>
          </cell>
          <cell r="H140" t="str">
            <v>C/S</v>
          </cell>
          <cell r="I140" t="str">
            <v>SK서린빌딩</v>
          </cell>
          <cell r="J140" t="str">
            <v>SK축구단 Site Web Server</v>
          </cell>
        </row>
        <row r="141">
          <cell r="A141" t="str">
            <v>Vega</v>
          </cell>
          <cell r="B141" t="str">
            <v>NT-CPU-COMPAQ-00009</v>
          </cell>
          <cell r="C141" t="str">
            <v>Y</v>
          </cell>
          <cell r="D141" t="str">
            <v>C</v>
          </cell>
          <cell r="E141" t="str">
            <v>LBIS</v>
          </cell>
          <cell r="H141" t="str">
            <v>C/S</v>
          </cell>
          <cell r="I141" t="str">
            <v>SK서린빌딩</v>
          </cell>
          <cell r="J141" t="str">
            <v>석유 SQL 적용업무 시스템</v>
          </cell>
        </row>
        <row r="142">
          <cell r="A142" t="str">
            <v>Sklpis</v>
          </cell>
          <cell r="B142" t="str">
            <v>NT-CPU-COMPAQ-00091</v>
          </cell>
          <cell r="C142" t="str">
            <v>Y</v>
          </cell>
          <cell r="D142" t="str">
            <v>C</v>
          </cell>
          <cell r="E142" t="str">
            <v>LPIS</v>
          </cell>
          <cell r="H142" t="str">
            <v>C/S</v>
          </cell>
          <cell r="I142" t="str">
            <v>SK서린빌딩</v>
          </cell>
          <cell r="J142" t="str">
            <v>LPIS 서버</v>
          </cell>
        </row>
        <row r="143">
          <cell r="A143" t="str">
            <v>Skdb7_pds</v>
          </cell>
          <cell r="B143" t="str">
            <v>NT-CPU-COMPAQ-00041</v>
          </cell>
          <cell r="C143" t="str">
            <v>Y</v>
          </cell>
          <cell r="D143" t="str">
            <v>B</v>
          </cell>
          <cell r="E143" t="str">
            <v>PDS</v>
          </cell>
          <cell r="H143" t="str">
            <v>C/S</v>
          </cell>
          <cell r="I143" t="str">
            <v>SK서린빌딩</v>
          </cell>
          <cell r="J143" t="str">
            <v>Pricing 관리 시스템</v>
          </cell>
        </row>
        <row r="144">
          <cell r="A144" t="str">
            <v>Leo</v>
          </cell>
          <cell r="B144" t="str">
            <v>NT-CPU-COMPAQ-00011</v>
          </cell>
          <cell r="C144" t="str">
            <v>Y</v>
          </cell>
          <cell r="D144" t="str">
            <v>C</v>
          </cell>
          <cell r="E144" t="str">
            <v>PIDB</v>
          </cell>
          <cell r="H144" t="str">
            <v>C/S</v>
          </cell>
          <cell r="I144" t="str">
            <v>SK서린빌딩</v>
          </cell>
          <cell r="J144" t="str">
            <v>화학 SQL 적용업무 시스템</v>
          </cell>
        </row>
        <row r="145">
          <cell r="A145" t="str">
            <v>Esca</v>
          </cell>
          <cell r="B145" t="str">
            <v>NT-CPU-COMPAQ-00037</v>
          </cell>
          <cell r="C145" t="str">
            <v>Y</v>
          </cell>
          <cell r="D145" t="str">
            <v>C</v>
          </cell>
          <cell r="E145" t="str">
            <v>RSAFS</v>
          </cell>
          <cell r="H145" t="str">
            <v>C/S</v>
          </cell>
          <cell r="I145" t="str">
            <v>SK서린빌딩</v>
          </cell>
          <cell r="J145" t="str">
            <v>지역별 판매관리 시스템</v>
          </cell>
        </row>
        <row r="146">
          <cell r="A146" t="str">
            <v>Aries</v>
          </cell>
          <cell r="B146" t="str">
            <v>NT-CPU-COMPAQ-00010</v>
          </cell>
          <cell r="C146" t="str">
            <v>Y</v>
          </cell>
          <cell r="D146" t="str">
            <v>C</v>
          </cell>
          <cell r="E146" t="str">
            <v>SAFS</v>
          </cell>
          <cell r="H146" t="str">
            <v>C/S</v>
          </cell>
          <cell r="I146" t="str">
            <v>SK서린빌딩</v>
          </cell>
          <cell r="J146" t="str">
            <v>package시스템 서버(제무제표/통계</v>
          </cell>
        </row>
        <row r="147">
          <cell r="A147" t="str">
            <v>P01(HOST)</v>
          </cell>
          <cell r="B147" t="e">
            <v>#N/A</v>
          </cell>
          <cell r="C147" t="str">
            <v>Y</v>
          </cell>
          <cell r="D147" t="str">
            <v>C</v>
          </cell>
          <cell r="E147" t="str">
            <v>VIS</v>
          </cell>
          <cell r="I147" t="e">
            <v>#N/A</v>
          </cell>
          <cell r="J147" t="e">
            <v>#N/A</v>
          </cell>
        </row>
        <row r="148">
          <cell r="A148" t="str">
            <v>Leo</v>
          </cell>
          <cell r="B148" t="str">
            <v>NT-CPU-COMPAQ-00011</v>
          </cell>
          <cell r="C148" t="str">
            <v>Y</v>
          </cell>
          <cell r="D148" t="str">
            <v>B</v>
          </cell>
          <cell r="E148" t="str">
            <v>CMS</v>
          </cell>
          <cell r="H148" t="str">
            <v>C/S</v>
          </cell>
          <cell r="I148" t="str">
            <v>SK서린빌딩</v>
          </cell>
          <cell r="J148" t="str">
            <v>화학 SQL 적용업무 시스템</v>
          </cell>
        </row>
        <row r="149">
          <cell r="A149" t="str">
            <v>Leo</v>
          </cell>
          <cell r="B149" t="str">
            <v>NT-CPU-COMPAQ-00011</v>
          </cell>
          <cell r="C149" t="str">
            <v>Y</v>
          </cell>
          <cell r="D149" t="str">
            <v>C</v>
          </cell>
          <cell r="E149" t="str">
            <v>CPAS</v>
          </cell>
          <cell r="H149" t="str">
            <v>C/S</v>
          </cell>
          <cell r="I149" t="str">
            <v>SK서린빌딩</v>
          </cell>
          <cell r="J149" t="str">
            <v>화학 SQL 적용업무 시스템</v>
          </cell>
        </row>
        <row r="150">
          <cell r="A150" t="str">
            <v>Leo</v>
          </cell>
          <cell r="B150" t="str">
            <v>NT-CPU-COMPAQ-00011</v>
          </cell>
          <cell r="C150" t="str">
            <v>Y</v>
          </cell>
          <cell r="D150" t="str">
            <v>C</v>
          </cell>
          <cell r="E150" t="str">
            <v>CSAS</v>
          </cell>
          <cell r="H150" t="str">
            <v>C/S</v>
          </cell>
          <cell r="I150" t="str">
            <v>SK서린빌딩</v>
          </cell>
          <cell r="J150" t="str">
            <v>화학 SQL 적용업무 시스템</v>
          </cell>
        </row>
        <row r="151">
          <cell r="A151" t="str">
            <v>P01(HOST)</v>
          </cell>
          <cell r="B151" t="e">
            <v>#N/A</v>
          </cell>
          <cell r="C151" t="str">
            <v>Y</v>
          </cell>
          <cell r="D151" t="str">
            <v>B</v>
          </cell>
          <cell r="E151" t="str">
            <v>HRMS</v>
          </cell>
          <cell r="H151" t="str">
            <v>Host</v>
          </cell>
          <cell r="I151" t="e">
            <v>#N/A</v>
          </cell>
          <cell r="J151" t="e">
            <v>#N/A</v>
          </cell>
        </row>
        <row r="152">
          <cell r="A152" t="str">
            <v>P01(HOST)</v>
          </cell>
          <cell r="B152" t="e">
            <v>#N/A</v>
          </cell>
          <cell r="C152" t="str">
            <v>Y</v>
          </cell>
          <cell r="D152" t="str">
            <v>B</v>
          </cell>
          <cell r="E152" t="str">
            <v>MIIS</v>
          </cell>
          <cell r="H152" t="str">
            <v>Host</v>
          </cell>
          <cell r="I152" t="e">
            <v>#N/A</v>
          </cell>
          <cell r="J152" t="e">
            <v>#N/A</v>
          </cell>
        </row>
        <row r="153">
          <cell r="A153" t="str">
            <v>P01(HOST)</v>
          </cell>
          <cell r="B153" t="e">
            <v>#N/A</v>
          </cell>
          <cell r="C153" t="str">
            <v>Y</v>
          </cell>
          <cell r="D153" t="str">
            <v>C</v>
          </cell>
          <cell r="E153" t="str">
            <v>PDAS</v>
          </cell>
          <cell r="H153" t="str">
            <v>Host</v>
          </cell>
          <cell r="I153" t="e">
            <v>#N/A</v>
          </cell>
          <cell r="J153" t="e">
            <v>#N/A</v>
          </cell>
        </row>
        <row r="154">
          <cell r="A154" t="str">
            <v>Leo</v>
          </cell>
          <cell r="B154" t="str">
            <v>NT-CPU-COMPAQ-00011</v>
          </cell>
          <cell r="C154" t="str">
            <v>Y</v>
          </cell>
          <cell r="D154" t="str">
            <v>B</v>
          </cell>
          <cell r="E154" t="str">
            <v>PEMS</v>
          </cell>
          <cell r="H154" t="str">
            <v>C/S</v>
          </cell>
          <cell r="I154" t="str">
            <v>SK서린빌딩</v>
          </cell>
          <cell r="J154" t="str">
            <v>화학 SQL 적용업무 시스템</v>
          </cell>
        </row>
        <row r="155">
          <cell r="A155" t="str">
            <v>Leo</v>
          </cell>
          <cell r="B155" t="str">
            <v>NT-CPU-COMPAQ-00011</v>
          </cell>
          <cell r="C155" t="str">
            <v>Y</v>
          </cell>
          <cell r="D155" t="str">
            <v>B</v>
          </cell>
          <cell r="E155" t="str">
            <v>PMS</v>
          </cell>
          <cell r="H155" t="str">
            <v>C/S</v>
          </cell>
          <cell r="I155" t="str">
            <v>SK서린빌딩</v>
          </cell>
          <cell r="J155" t="str">
            <v>화학 SQL 적용업무 시스템</v>
          </cell>
        </row>
        <row r="156">
          <cell r="A156" t="str">
            <v>P01(HOST)</v>
          </cell>
          <cell r="B156" t="e">
            <v>#N/A</v>
          </cell>
          <cell r="C156" t="str">
            <v>Y</v>
          </cell>
          <cell r="D156" t="str">
            <v>C</v>
          </cell>
          <cell r="E156" t="str">
            <v>SW(M)S</v>
          </cell>
          <cell r="I156" t="e">
            <v>#N/A</v>
          </cell>
          <cell r="J156" t="e">
            <v>#N/A</v>
          </cell>
        </row>
        <row r="157">
          <cell r="A157" t="str">
            <v>P01(HOST)</v>
          </cell>
          <cell r="B157" t="e">
            <v>#N/A</v>
          </cell>
          <cell r="C157" t="str">
            <v>Y</v>
          </cell>
          <cell r="D157" t="str">
            <v>A</v>
          </cell>
          <cell r="E157" t="str">
            <v>YSS-영업</v>
          </cell>
          <cell r="I157" t="e">
            <v>#N/A</v>
          </cell>
          <cell r="J157" t="e">
            <v>#N/A</v>
          </cell>
        </row>
        <row r="158">
          <cell r="A158" t="str">
            <v>Nesty</v>
          </cell>
          <cell r="B158" t="str">
            <v>UX-CPU-IBM-00121</v>
          </cell>
          <cell r="C158" t="str">
            <v>Y</v>
          </cell>
          <cell r="D158" t="str">
            <v>C</v>
          </cell>
          <cell r="E158" t="str">
            <v>QMS</v>
          </cell>
          <cell r="H158" t="str">
            <v>C/S</v>
          </cell>
          <cell r="I158" t="str">
            <v>대덕CDC</v>
          </cell>
          <cell r="J158" t="str">
            <v>QMS, POPS</v>
          </cell>
        </row>
        <row r="159">
          <cell r="A159" t="str">
            <v>Telexsrv</v>
          </cell>
          <cell r="B159" t="str">
            <v>NT-CPU-COMPAQ-00035</v>
          </cell>
          <cell r="C159" t="str">
            <v>Y</v>
          </cell>
          <cell r="D159" t="str">
            <v>B</v>
          </cell>
          <cell r="E159" t="str">
            <v>BIS</v>
          </cell>
          <cell r="H159" t="str">
            <v>C/S</v>
          </cell>
          <cell r="I159" t="e">
            <v>#N/A</v>
          </cell>
          <cell r="J159" t="str">
            <v>TELEX 서버</v>
          </cell>
        </row>
        <row r="160">
          <cell r="A160" t="str">
            <v>Vega</v>
          </cell>
          <cell r="B160" t="str">
            <v>NT-CPU-COMPAQ-00009</v>
          </cell>
          <cell r="C160" t="str">
            <v>Y</v>
          </cell>
          <cell r="D160" t="str">
            <v>B</v>
          </cell>
          <cell r="E160" t="str">
            <v>BIS</v>
          </cell>
          <cell r="H160" t="str">
            <v>C/S</v>
          </cell>
          <cell r="I160" t="e">
            <v>#N/A</v>
          </cell>
          <cell r="J160" t="str">
            <v>석유 SQL 적용업무 시스템</v>
          </cell>
        </row>
        <row r="161">
          <cell r="A161" t="str">
            <v>Ykinstall</v>
          </cell>
          <cell r="B161" t="str">
            <v>NT-CPU-COMPAQ-00001</v>
          </cell>
          <cell r="C161" t="str">
            <v>Y</v>
          </cell>
          <cell r="D161" t="str">
            <v>B</v>
          </cell>
          <cell r="E161" t="str">
            <v>BIS</v>
          </cell>
          <cell r="H161" t="str">
            <v>C/S</v>
          </cell>
          <cell r="I161" t="e">
            <v>#N/A</v>
          </cell>
          <cell r="J161" t="str">
            <v>전사설치 File 서버</v>
          </cell>
        </row>
        <row r="162">
          <cell r="A162" t="str">
            <v>Liberty</v>
          </cell>
          <cell r="B162" t="str">
            <v>UX-CPU-IBM-00120</v>
          </cell>
          <cell r="C162" t="str">
            <v>Y</v>
          </cell>
          <cell r="D162" t="str">
            <v>B</v>
          </cell>
          <cell r="E162" t="str">
            <v>COS</v>
          </cell>
          <cell r="H162" t="str">
            <v>C/S</v>
          </cell>
          <cell r="I162" t="str">
            <v>대덕CDC</v>
          </cell>
          <cell r="J162" t="str">
            <v>PBPAS, PMSP, COS</v>
          </cell>
        </row>
        <row r="163">
          <cell r="A163" t="str">
            <v>Nesty</v>
          </cell>
          <cell r="B163" t="str">
            <v>UX-CPU-IBM-00121</v>
          </cell>
          <cell r="C163" t="str">
            <v>Y</v>
          </cell>
          <cell r="D163" t="str">
            <v>B</v>
          </cell>
          <cell r="E163" t="str">
            <v>POPS</v>
          </cell>
          <cell r="H163" t="str">
            <v>C/S</v>
          </cell>
          <cell r="I163" t="str">
            <v>대덕CDC</v>
          </cell>
          <cell r="J163" t="str">
            <v>QMS, POPS</v>
          </cell>
        </row>
        <row r="164">
          <cell r="A164" t="str">
            <v>Punky</v>
          </cell>
          <cell r="B164" t="str">
            <v>UX-CPU-IBM-00123</v>
          </cell>
          <cell r="C164" t="str">
            <v>Y</v>
          </cell>
          <cell r="D164" t="str">
            <v>C</v>
          </cell>
          <cell r="E164" t="str">
            <v>PSAS</v>
          </cell>
          <cell r="H164" t="str">
            <v>C/S</v>
          </cell>
          <cell r="I164" t="str">
            <v>대덕CDC</v>
          </cell>
          <cell r="J164" t="str">
            <v>HRIS, YSCS, COMS SSM,PSAS</v>
          </cell>
        </row>
        <row r="165">
          <cell r="A165" t="str">
            <v>Punky</v>
          </cell>
          <cell r="B165" t="str">
            <v>UX-CPU-IBM-00123</v>
          </cell>
          <cell r="C165" t="str">
            <v>Y</v>
          </cell>
          <cell r="D165" t="str">
            <v>C</v>
          </cell>
          <cell r="E165" t="str">
            <v>YSCS</v>
          </cell>
          <cell r="H165" t="str">
            <v>Host</v>
          </cell>
          <cell r="I165" t="str">
            <v>대덕CDC</v>
          </cell>
          <cell r="J165" t="str">
            <v>HRIS, YSCS, COMS SSM,PSAS</v>
          </cell>
        </row>
        <row r="166">
          <cell r="A166" t="str">
            <v>P01(HOST)</v>
          </cell>
          <cell r="B166" t="e">
            <v>#N/A</v>
          </cell>
          <cell r="C166" t="str">
            <v>Y</v>
          </cell>
          <cell r="D166" t="str">
            <v>A</v>
          </cell>
          <cell r="E166" t="str">
            <v>YSS</v>
          </cell>
          <cell r="H166" t="str">
            <v>Host</v>
          </cell>
          <cell r="I166" t="e">
            <v>#N/A</v>
          </cell>
          <cell r="J166" t="e">
            <v>#N/A</v>
          </cell>
        </row>
        <row r="167">
          <cell r="A167" t="str">
            <v>없음</v>
          </cell>
          <cell r="B167" t="str">
            <v>UX-CPU-기타-00009</v>
          </cell>
          <cell r="C167" t="str">
            <v>Y</v>
          </cell>
          <cell r="D167" t="str">
            <v>B</v>
          </cell>
          <cell r="E167" t="str">
            <v>Card Reader</v>
          </cell>
          <cell r="I167" t="str">
            <v>SK건설본사</v>
          </cell>
          <cell r="J167" t="str">
            <v>printer</v>
          </cell>
        </row>
        <row r="168">
          <cell r="A168" t="str">
            <v>각 물류센터 Server</v>
          </cell>
          <cell r="B168" t="e">
            <v>#N/A</v>
          </cell>
          <cell r="C168" t="str">
            <v>Y</v>
          </cell>
          <cell r="D168" t="str">
            <v>C</v>
          </cell>
          <cell r="E168" t="str">
            <v>PCAS</v>
          </cell>
          <cell r="I168" t="e">
            <v>#N/A</v>
          </cell>
          <cell r="J168" t="e">
            <v>#N/A</v>
          </cell>
        </row>
        <row r="169">
          <cell r="A169" t="str">
            <v>P01(HOST)</v>
          </cell>
          <cell r="B169" t="e">
            <v>#N/A</v>
          </cell>
          <cell r="C169" t="str">
            <v>Y</v>
          </cell>
          <cell r="D169" t="str">
            <v>C</v>
          </cell>
          <cell r="E169" t="str">
            <v>ICS</v>
          </cell>
          <cell r="H169" t="str">
            <v>Host</v>
          </cell>
          <cell r="I169" t="e">
            <v>#N/A</v>
          </cell>
          <cell r="J169" t="e">
            <v>#N/A</v>
          </cell>
        </row>
        <row r="170">
          <cell r="A170" t="str">
            <v>P01(HOST)</v>
          </cell>
          <cell r="B170" t="e">
            <v>#N/A</v>
          </cell>
          <cell r="C170" t="str">
            <v>Y</v>
          </cell>
          <cell r="D170" t="str">
            <v>A</v>
          </cell>
          <cell r="E170" t="str">
            <v>AIMS</v>
          </cell>
          <cell r="I170" t="e">
            <v>#N/A</v>
          </cell>
          <cell r="J170" t="e">
            <v>#N/A</v>
          </cell>
        </row>
        <row r="171">
          <cell r="A171" t="str">
            <v>Mercury</v>
          </cell>
          <cell r="B171" t="str">
            <v>NT-CPU-COMPAQ-00007</v>
          </cell>
          <cell r="C171" t="str">
            <v>Y</v>
          </cell>
          <cell r="D171" t="str">
            <v>A</v>
          </cell>
          <cell r="E171" t="str">
            <v>AIMS</v>
          </cell>
          <cell r="I171" t="str">
            <v>SK서린빌딩</v>
          </cell>
          <cell r="J171" t="str">
            <v>재무 SQL 적용업무 시스템</v>
          </cell>
        </row>
        <row r="172">
          <cell r="A172" t="str">
            <v>Oxy</v>
          </cell>
          <cell r="B172" t="e">
            <v>#N/A</v>
          </cell>
          <cell r="C172" t="str">
            <v>Y</v>
          </cell>
          <cell r="D172" t="str">
            <v>A</v>
          </cell>
          <cell r="E172" t="str">
            <v>AIMS</v>
          </cell>
          <cell r="I172" t="str">
            <v>대덕CDC</v>
          </cell>
          <cell r="J172" t="str">
            <v>AIMS ROUTING용(운영)</v>
          </cell>
        </row>
        <row r="173">
          <cell r="A173" t="str">
            <v>P01(HOST)</v>
          </cell>
          <cell r="B173" t="e">
            <v>#N/A</v>
          </cell>
          <cell r="C173" t="str">
            <v>Y</v>
          </cell>
          <cell r="D173" t="str">
            <v>A</v>
          </cell>
          <cell r="E173" t="str">
            <v>AIMS</v>
          </cell>
          <cell r="I173" t="e">
            <v>#N/A</v>
          </cell>
          <cell r="J173" t="e">
            <v>#N/A</v>
          </cell>
        </row>
        <row r="174">
          <cell r="A174" t="str">
            <v>Mercury</v>
          </cell>
          <cell r="B174" t="str">
            <v>NT-CPU-COMPAQ-00007</v>
          </cell>
          <cell r="C174" t="str">
            <v>Y</v>
          </cell>
          <cell r="D174" t="str">
            <v>A</v>
          </cell>
          <cell r="E174" t="str">
            <v>AIMS</v>
          </cell>
          <cell r="I174" t="str">
            <v>SK서린빌딩</v>
          </cell>
          <cell r="J174" t="str">
            <v>재무 SQL 적용업무 시스템</v>
          </cell>
        </row>
        <row r="175">
          <cell r="A175" t="str">
            <v>Oxy</v>
          </cell>
          <cell r="B175" t="e">
            <v>#N/A</v>
          </cell>
          <cell r="C175" t="str">
            <v>Y</v>
          </cell>
          <cell r="D175" t="str">
            <v>A</v>
          </cell>
          <cell r="E175" t="str">
            <v>AIMS</v>
          </cell>
          <cell r="I175" t="str">
            <v>대덕CDC</v>
          </cell>
          <cell r="J175" t="str">
            <v>AIMS ROUTING용(운영)</v>
          </cell>
        </row>
        <row r="176">
          <cell r="A176" t="str">
            <v>P01(HOST)</v>
          </cell>
          <cell r="B176" t="e">
            <v>#N/A</v>
          </cell>
          <cell r="C176" t="str">
            <v>Y</v>
          </cell>
          <cell r="D176" t="str">
            <v>C</v>
          </cell>
          <cell r="E176" t="str">
            <v>DFMS</v>
          </cell>
          <cell r="H176" t="str">
            <v>Host</v>
          </cell>
          <cell r="I176" t="e">
            <v>#N/A</v>
          </cell>
          <cell r="J176" t="e">
            <v>#N/A</v>
          </cell>
        </row>
        <row r="177">
          <cell r="A177" t="str">
            <v>P01(HOST)</v>
          </cell>
          <cell r="B177" t="e">
            <v>#N/A</v>
          </cell>
          <cell r="C177" t="str">
            <v>Y</v>
          </cell>
          <cell r="D177" t="str">
            <v>C</v>
          </cell>
          <cell r="E177" t="str">
            <v>FAS</v>
          </cell>
          <cell r="H177" t="str">
            <v>Host</v>
          </cell>
          <cell r="I177" t="e">
            <v>#N/A</v>
          </cell>
          <cell r="J177" t="e">
            <v>#N/A</v>
          </cell>
        </row>
        <row r="178">
          <cell r="A178" t="str">
            <v>Mercury</v>
          </cell>
          <cell r="B178" t="str">
            <v>NT-CPU-COMPAQ-00007</v>
          </cell>
          <cell r="C178" t="str">
            <v>Y</v>
          </cell>
          <cell r="D178" t="str">
            <v>C</v>
          </cell>
          <cell r="E178" t="str">
            <v>POMS</v>
          </cell>
          <cell r="H178" t="str">
            <v>C/S</v>
          </cell>
          <cell r="I178" t="str">
            <v>SK서린빌딩</v>
          </cell>
          <cell r="J178" t="str">
            <v>재무 SQL 적용업무 시스템</v>
          </cell>
        </row>
        <row r="179">
          <cell r="A179" t="str">
            <v>P01(HOST)</v>
          </cell>
          <cell r="B179" t="e">
            <v>#N/A</v>
          </cell>
          <cell r="C179" t="str">
            <v>Y</v>
          </cell>
          <cell r="D179" t="str">
            <v>C</v>
          </cell>
          <cell r="E179" t="str">
            <v>RMAS</v>
          </cell>
          <cell r="I179" t="e">
            <v>#N/A</v>
          </cell>
          <cell r="J179" t="e">
            <v>#N/A</v>
          </cell>
        </row>
        <row r="180">
          <cell r="A180" t="str">
            <v>Mercury</v>
          </cell>
          <cell r="B180" t="str">
            <v>NT-CPU-COMPAQ-00007</v>
          </cell>
          <cell r="C180" t="str">
            <v>Y</v>
          </cell>
          <cell r="D180" t="str">
            <v>C</v>
          </cell>
          <cell r="E180" t="str">
            <v>RMAS</v>
          </cell>
          <cell r="I180" t="str">
            <v>SK서린빌딩</v>
          </cell>
          <cell r="J180" t="str">
            <v>재무 SQL 적용업무 시스템</v>
          </cell>
        </row>
        <row r="181">
          <cell r="A181" t="str">
            <v>Mercury</v>
          </cell>
          <cell r="B181" t="str">
            <v>NT-CPU-COMPAQ-00007</v>
          </cell>
          <cell r="C181" t="str">
            <v>Y</v>
          </cell>
          <cell r="D181" t="str">
            <v>C</v>
          </cell>
          <cell r="E181" t="str">
            <v>TFIS</v>
          </cell>
          <cell r="H181" t="str">
            <v>C/S</v>
          </cell>
          <cell r="I181" t="str">
            <v>SK서린빌딩</v>
          </cell>
          <cell r="J181" t="str">
            <v>재무 SQL 적용업무 시스템</v>
          </cell>
        </row>
        <row r="182">
          <cell r="A182" t="str">
            <v>Aries</v>
          </cell>
          <cell r="B182" t="str">
            <v>NT-CPU-COMPAQ-00010</v>
          </cell>
          <cell r="C182" t="str">
            <v>Y</v>
          </cell>
          <cell r="D182" t="str">
            <v>C</v>
          </cell>
          <cell r="E182" t="str">
            <v>VIS</v>
          </cell>
          <cell r="H182" t="str">
            <v>Host</v>
          </cell>
          <cell r="I182" t="str">
            <v>SK서린빌딩</v>
          </cell>
          <cell r="J182" t="str">
            <v>package시스템 서버(제무제표/통계</v>
          </cell>
        </row>
        <row r="183">
          <cell r="A183" t="str">
            <v>Orion</v>
          </cell>
          <cell r="B183" t="str">
            <v>NT-CPU-COMPAQ-00013</v>
          </cell>
          <cell r="C183" t="str">
            <v>Y</v>
          </cell>
          <cell r="D183" t="str">
            <v>C</v>
          </cell>
          <cell r="E183" t="str">
            <v>VIS</v>
          </cell>
          <cell r="H183" t="str">
            <v>Host</v>
          </cell>
          <cell r="I183" t="str">
            <v>SK서린빌딩</v>
          </cell>
          <cell r="J183" t="str">
            <v>SQL 적용업무시스템 Test 서버</v>
          </cell>
        </row>
        <row r="184">
          <cell r="A184" t="str">
            <v>P01(HOST)</v>
          </cell>
          <cell r="B184" t="e">
            <v>#N/A</v>
          </cell>
          <cell r="C184" t="str">
            <v>Y</v>
          </cell>
          <cell r="D184" t="str">
            <v>C</v>
          </cell>
          <cell r="E184" t="str">
            <v>VMS</v>
          </cell>
          <cell r="H184" t="str">
            <v>Host</v>
          </cell>
          <cell r="I184" t="e">
            <v>#N/A</v>
          </cell>
          <cell r="J184" t="e">
            <v>#N/A</v>
          </cell>
        </row>
        <row r="185">
          <cell r="A185" t="str">
            <v>Mercury</v>
          </cell>
          <cell r="B185" t="str">
            <v>NT-CPU-COMPAQ-00007</v>
          </cell>
          <cell r="C185" t="str">
            <v>Y</v>
          </cell>
          <cell r="D185" t="str">
            <v>C</v>
          </cell>
          <cell r="E185" t="str">
            <v>ADS</v>
          </cell>
          <cell r="I185" t="str">
            <v>SK서린빌딩</v>
          </cell>
          <cell r="J185" t="str">
            <v>재무 SQL 적용업무 시스템</v>
          </cell>
        </row>
        <row r="186">
          <cell r="A186" t="str">
            <v>Aries</v>
          </cell>
          <cell r="B186" t="str">
            <v>NT-CPU-COMPAQ-00010</v>
          </cell>
          <cell r="C186" t="str">
            <v>Y</v>
          </cell>
          <cell r="D186" t="str">
            <v>C</v>
          </cell>
          <cell r="E186" t="str">
            <v>RMS</v>
          </cell>
          <cell r="I186" t="str">
            <v>SK서린빌딩</v>
          </cell>
          <cell r="J186" t="str">
            <v>package시스템 서버(제무제표/통계</v>
          </cell>
        </row>
        <row r="187">
          <cell r="A187" t="str">
            <v>Kiddy</v>
          </cell>
          <cell r="B187" t="str">
            <v>UX-CPU-IBM-00053</v>
          </cell>
          <cell r="C187" t="str">
            <v>Y</v>
          </cell>
          <cell r="D187" t="str">
            <v>C</v>
          </cell>
          <cell r="E187" t="str">
            <v>FBS</v>
          </cell>
          <cell r="I187" t="str">
            <v>대덕CDC</v>
          </cell>
          <cell r="J187" t="str">
            <v>TPMS, FBS, MAMS</v>
          </cell>
        </row>
        <row r="188">
          <cell r="A188" t="str">
            <v>EPSM_DB</v>
          </cell>
          <cell r="B188" t="str">
            <v>NT-CPU-COMPAQ-00088</v>
          </cell>
          <cell r="C188" t="str">
            <v>Y</v>
          </cell>
          <cell r="D188" t="str">
            <v>B</v>
          </cell>
          <cell r="E188" t="str">
            <v>PIMS</v>
          </cell>
          <cell r="H188" t="str">
            <v>C/S</v>
          </cell>
          <cell r="I188" t="str">
            <v>SK서린빌딩</v>
          </cell>
          <cell r="J188" t="str">
            <v>구매정보시스템 Web DB 서버</v>
          </cell>
        </row>
        <row r="189">
          <cell r="A189" t="str">
            <v>EPSM_DB</v>
          </cell>
          <cell r="B189" t="str">
            <v>NT-CPU-COMPAQ-00088</v>
          </cell>
          <cell r="C189" t="str">
            <v>Y</v>
          </cell>
          <cell r="D189" t="str">
            <v>B</v>
          </cell>
          <cell r="E189" t="str">
            <v>skebid.com</v>
          </cell>
          <cell r="I189" t="str">
            <v>SK서린빌딩</v>
          </cell>
          <cell r="J189" t="str">
            <v>구매정보시스템 Web DB 서버</v>
          </cell>
        </row>
        <row r="190">
          <cell r="A190" t="str">
            <v>EPSM_WEB</v>
          </cell>
          <cell r="B190" t="str">
            <v>NT-CPU-COMPAQ-00089</v>
          </cell>
          <cell r="C190" t="str">
            <v>Y</v>
          </cell>
          <cell r="D190" t="str">
            <v>B</v>
          </cell>
          <cell r="E190" t="str">
            <v>skebid.com</v>
          </cell>
          <cell r="I190" t="str">
            <v>SK서린빌딩</v>
          </cell>
          <cell r="J190" t="str">
            <v>구매정보시스템 Web 서버</v>
          </cell>
        </row>
      </sheetData>
      <sheetData sheetId="12" refreshError="1">
        <row r="1">
          <cell r="A1" t="str">
            <v>서버명</v>
          </cell>
          <cell r="B1" t="str">
            <v>자산 번호</v>
          </cell>
          <cell r="C1" t="str">
            <v>SL 관리 대상</v>
          </cell>
          <cell r="D1" t="str">
            <v>SL Portfolio</v>
          </cell>
          <cell r="E1" t="str">
            <v>Function</v>
          </cell>
          <cell r="F1" t="str">
            <v>Location</v>
          </cell>
          <cell r="G1" t="str">
            <v>적용업무1</v>
          </cell>
        </row>
        <row r="3">
          <cell r="A3" t="str">
            <v>WHHOST3</v>
          </cell>
          <cell r="B3" t="str">
            <v>UX-CPU-HP-00044</v>
          </cell>
          <cell r="C3" t="str">
            <v>Y</v>
          </cell>
          <cell r="D3" t="str">
            <v>A</v>
          </cell>
          <cell r="E3" t="str">
            <v>객실시스템(GEAC)</v>
          </cell>
          <cell r="F3" t="str">
            <v>워커힐</v>
          </cell>
          <cell r="G3" t="str">
            <v>프론트,POS</v>
          </cell>
        </row>
        <row r="4">
          <cell r="A4" t="str">
            <v>AIRGARDEN</v>
          </cell>
          <cell r="B4" t="str">
            <v>NT-CPU-COMPAQ-00594</v>
          </cell>
          <cell r="C4" t="str">
            <v>Y</v>
          </cell>
          <cell r="D4" t="str">
            <v>A</v>
          </cell>
          <cell r="E4" t="str">
            <v>객실시스템(영종도)</v>
          </cell>
          <cell r="F4" t="str">
            <v>워커힐기타</v>
          </cell>
          <cell r="G4" t="str">
            <v>인천공항 환승호텔 FRONT시스템</v>
          </cell>
        </row>
        <row r="5">
          <cell r="A5" t="str">
            <v>WHEDI</v>
          </cell>
          <cell r="B5" t="str">
            <v>NT-CPU-COMPAQ-00596</v>
          </cell>
          <cell r="C5" t="str">
            <v>Y</v>
          </cell>
          <cell r="D5" t="str">
            <v>A</v>
          </cell>
          <cell r="E5" t="str">
            <v>EDI</v>
          </cell>
          <cell r="F5" t="str">
            <v>워커힐</v>
          </cell>
          <cell r="G5" t="str">
            <v>신용카드결재시스템</v>
          </cell>
        </row>
        <row r="6">
          <cell r="A6" t="str">
            <v>WHHOST3</v>
          </cell>
          <cell r="B6" t="str">
            <v>UX-CPU-HP-00044</v>
          </cell>
          <cell r="C6" t="str">
            <v>Y</v>
          </cell>
          <cell r="D6" t="str">
            <v>A</v>
          </cell>
          <cell r="E6" t="str">
            <v>CAS</v>
          </cell>
          <cell r="F6" t="str">
            <v>워커힐</v>
          </cell>
          <cell r="G6" t="str">
            <v>프론트,POS</v>
          </cell>
        </row>
        <row r="7">
          <cell r="A7" t="str">
            <v>WHHOST3</v>
          </cell>
          <cell r="B7" t="str">
            <v>UX-CPU-HP-00044</v>
          </cell>
          <cell r="C7" t="str">
            <v>Y</v>
          </cell>
          <cell r="D7" t="str">
            <v>A</v>
          </cell>
          <cell r="E7" t="str">
            <v>미니바판매관리시스템</v>
          </cell>
          <cell r="F7" t="str">
            <v>워커힐</v>
          </cell>
          <cell r="G7" t="str">
            <v>프론트,POS</v>
          </cell>
        </row>
        <row r="8">
          <cell r="A8" t="str">
            <v>WHSQL</v>
          </cell>
          <cell r="B8" t="str">
            <v>NT-CPU-COMPAQ-00593</v>
          </cell>
          <cell r="C8" t="str">
            <v>Y</v>
          </cell>
          <cell r="D8" t="str">
            <v>A</v>
          </cell>
          <cell r="E8" t="str">
            <v>DELPHI</v>
          </cell>
          <cell r="F8" t="str">
            <v>워커힐</v>
          </cell>
          <cell r="G8" t="str">
            <v>delphi</v>
          </cell>
        </row>
        <row r="9">
          <cell r="A9" t="str">
            <v>WHHOST3</v>
          </cell>
          <cell r="B9" t="str">
            <v>UX-CPU-HP-00044</v>
          </cell>
          <cell r="C9" t="str">
            <v>Y</v>
          </cell>
          <cell r="D9" t="str">
            <v>A</v>
          </cell>
          <cell r="E9" t="str">
            <v>EPSON POS</v>
          </cell>
          <cell r="F9" t="str">
            <v>워커힐</v>
          </cell>
          <cell r="G9" t="str">
            <v>프론트,POS</v>
          </cell>
        </row>
        <row r="10">
          <cell r="A10" t="str">
            <v>WHHOST3</v>
          </cell>
          <cell r="B10" t="str">
            <v>UX-CPU-HP-00044</v>
          </cell>
          <cell r="C10" t="str">
            <v>Y</v>
          </cell>
          <cell r="D10" t="str">
            <v>A</v>
          </cell>
          <cell r="E10" t="str">
            <v>NCR POS</v>
          </cell>
          <cell r="F10" t="str">
            <v>워커힐</v>
          </cell>
          <cell r="G10" t="str">
            <v>프론트,POS</v>
          </cell>
        </row>
        <row r="11">
          <cell r="A11" t="str">
            <v>POSSRV</v>
          </cell>
          <cell r="B11" t="str">
            <v>UX-CPU-HP-00124</v>
          </cell>
          <cell r="C11" t="str">
            <v>Y</v>
          </cell>
          <cell r="D11" t="str">
            <v>A</v>
          </cell>
          <cell r="E11" t="str">
            <v>DFS POS</v>
          </cell>
          <cell r="F11" t="str">
            <v>워커힐</v>
          </cell>
          <cell r="G11" t="str">
            <v>워커힐 면세점</v>
          </cell>
        </row>
        <row r="12">
          <cell r="A12" t="str">
            <v>WHHOST3</v>
          </cell>
          <cell r="B12" t="str">
            <v>UX-CPU-HP-00044</v>
          </cell>
          <cell r="C12" t="str">
            <v>Y</v>
          </cell>
          <cell r="D12" t="str">
            <v>A</v>
          </cell>
          <cell r="E12" t="str">
            <v>무선주문시스템</v>
          </cell>
          <cell r="F12" t="str">
            <v>워커힐</v>
          </cell>
          <cell r="G12" t="str">
            <v>프론트,POS</v>
          </cell>
        </row>
        <row r="13">
          <cell r="A13" t="str">
            <v>WHHOST3</v>
          </cell>
          <cell r="B13" t="str">
            <v>UX-CPU-HP-00044</v>
          </cell>
          <cell r="C13" t="str">
            <v>Y</v>
          </cell>
          <cell r="D13" t="str">
            <v>A</v>
          </cell>
          <cell r="E13" t="str">
            <v>KTR발권시스템</v>
          </cell>
          <cell r="F13" t="str">
            <v>워커힐</v>
          </cell>
          <cell r="G13" t="str">
            <v>프론트,POS</v>
          </cell>
        </row>
        <row r="14">
          <cell r="A14" t="str">
            <v>WHHOST1</v>
          </cell>
          <cell r="B14" t="str">
            <v>UX-CPU-HP-00043</v>
          </cell>
          <cell r="C14" t="str">
            <v>Y</v>
          </cell>
          <cell r="D14" t="str">
            <v>A</v>
          </cell>
          <cell r="E14" t="str">
            <v>통합예약정보시스템</v>
          </cell>
          <cell r="F14" t="str">
            <v>워커힐</v>
          </cell>
          <cell r="G14" t="str">
            <v>통합경영정보시스템</v>
          </cell>
        </row>
        <row r="15">
          <cell r="A15" t="str">
            <v>WHHOST1</v>
          </cell>
          <cell r="B15" t="str">
            <v>UX-CPU-HP-00043</v>
          </cell>
          <cell r="C15" t="str">
            <v>Y</v>
          </cell>
          <cell r="D15" t="str">
            <v>B</v>
          </cell>
          <cell r="E15" t="str">
            <v>영업회계정보시스템</v>
          </cell>
          <cell r="F15" t="str">
            <v>워커힐</v>
          </cell>
          <cell r="G15" t="str">
            <v>통합경영정보시스템</v>
          </cell>
        </row>
        <row r="16">
          <cell r="A16" t="str">
            <v>POSSRV</v>
          </cell>
          <cell r="B16" t="str">
            <v>UX-CPU-HP-00124</v>
          </cell>
          <cell r="C16" t="str">
            <v>Y</v>
          </cell>
          <cell r="D16" t="str">
            <v>C</v>
          </cell>
          <cell r="E16" t="str">
            <v>DFS정보시스템</v>
          </cell>
          <cell r="F16" t="str">
            <v>워커힐</v>
          </cell>
          <cell r="G16" t="str">
            <v>워커힐 면세점</v>
          </cell>
        </row>
        <row r="17">
          <cell r="A17" t="str">
            <v>WHHOST1</v>
          </cell>
          <cell r="B17" t="str">
            <v>UX-CPU-HP-00043</v>
          </cell>
          <cell r="C17" t="str">
            <v>Y</v>
          </cell>
          <cell r="D17" t="str">
            <v>C</v>
          </cell>
          <cell r="E17" t="str">
            <v>구매원가정보시스템</v>
          </cell>
          <cell r="F17" t="str">
            <v>워커힐</v>
          </cell>
          <cell r="G17" t="str">
            <v>통합경영정보시스템</v>
          </cell>
        </row>
        <row r="18">
          <cell r="A18" t="str">
            <v>WHHOST1</v>
          </cell>
          <cell r="B18" t="str">
            <v>UX-CPU-HP-00043</v>
          </cell>
          <cell r="C18" t="str">
            <v>Y</v>
          </cell>
          <cell r="D18" t="str">
            <v>C</v>
          </cell>
          <cell r="E18" t="str">
            <v>POS매출분석시스템</v>
          </cell>
          <cell r="F18" t="str">
            <v>워커힐</v>
          </cell>
          <cell r="G18" t="str">
            <v>통합경영정보시스템</v>
          </cell>
        </row>
        <row r="19">
          <cell r="A19" t="str">
            <v>WHHOST5</v>
          </cell>
          <cell r="B19" t="str">
            <v>UX-CPU-HP-00095</v>
          </cell>
          <cell r="C19" t="str">
            <v>Y</v>
          </cell>
          <cell r="D19" t="str">
            <v>C</v>
          </cell>
          <cell r="E19" t="str">
            <v>CRM DW</v>
          </cell>
          <cell r="F19" t="str">
            <v>워커힐</v>
          </cell>
          <cell r="G19" t="str">
            <v>CRM DW</v>
          </cell>
        </row>
        <row r="20">
          <cell r="A20" t="str">
            <v>WHWEBNOTES</v>
          </cell>
          <cell r="B20" t="str">
            <v>NT-CPU-COMPAQ-00595</v>
          </cell>
          <cell r="C20" t="str">
            <v>Y</v>
          </cell>
          <cell r="D20" t="str">
            <v>C</v>
          </cell>
          <cell r="E20" t="str">
            <v>Notes</v>
          </cell>
          <cell r="F20" t="str">
            <v>워커힐</v>
          </cell>
          <cell r="G20" t="str">
            <v>워커힐 NOTES서버</v>
          </cell>
        </row>
        <row r="21">
          <cell r="A21" t="str">
            <v>WHHOST1</v>
          </cell>
          <cell r="B21" t="str">
            <v>UX-CPU-HP-00043</v>
          </cell>
          <cell r="C21" t="str">
            <v>Y</v>
          </cell>
          <cell r="D21" t="str">
            <v>C</v>
          </cell>
          <cell r="E21" t="str">
            <v>인력정보시스템</v>
          </cell>
          <cell r="F21" t="str">
            <v>워커힐</v>
          </cell>
          <cell r="G21" t="str">
            <v>통합경영정보시스템</v>
          </cell>
        </row>
        <row r="22">
          <cell r="A22" t="str">
            <v>WHHOST1</v>
          </cell>
          <cell r="B22" t="str">
            <v>UX-CPU-HP-00043</v>
          </cell>
          <cell r="C22" t="str">
            <v>Y</v>
          </cell>
          <cell r="D22" t="str">
            <v>C</v>
          </cell>
          <cell r="E22" t="str">
            <v>재무정보시스템</v>
          </cell>
          <cell r="F22" t="str">
            <v>워커힐</v>
          </cell>
          <cell r="G22" t="str">
            <v>통합경영정보시스템</v>
          </cell>
        </row>
        <row r="23">
          <cell r="A23" t="str">
            <v>WHEPMS</v>
          </cell>
          <cell r="B23" t="str">
            <v>NT-CPU-IBM-00106</v>
          </cell>
          <cell r="C23" t="str">
            <v>Y</v>
          </cell>
          <cell r="D23" t="str">
            <v>C</v>
          </cell>
          <cell r="E23" t="str">
            <v>구매Homepage</v>
          </cell>
          <cell r="F23" t="str">
            <v>워커힐</v>
          </cell>
          <cell r="G23" t="str">
            <v>전자구매시스템</v>
          </cell>
        </row>
        <row r="24">
          <cell r="A24" t="str">
            <v>WHHOST1</v>
          </cell>
          <cell r="B24" t="str">
            <v>UX-CPU-HP-00043</v>
          </cell>
          <cell r="C24" t="str">
            <v>Y</v>
          </cell>
          <cell r="D24" t="str">
            <v>D</v>
          </cell>
          <cell r="E24" t="str">
            <v>마케팅상품정보시스템</v>
          </cell>
          <cell r="F24" t="str">
            <v>워커힐</v>
          </cell>
          <cell r="G24" t="str">
            <v>통합경영정보시스템</v>
          </cell>
        </row>
        <row r="25">
          <cell r="A25" t="str">
            <v>WHHOST1</v>
          </cell>
          <cell r="B25" t="str">
            <v>UX-CPU-HP-00043</v>
          </cell>
          <cell r="C25" t="str">
            <v>Y</v>
          </cell>
          <cell r="D25" t="str">
            <v>D</v>
          </cell>
          <cell r="E25" t="str">
            <v>고객정보시스템</v>
          </cell>
          <cell r="F25" t="str">
            <v>워커힐</v>
          </cell>
          <cell r="G25" t="str">
            <v>통합경영정보시스템</v>
          </cell>
        </row>
        <row r="26">
          <cell r="A26" t="str">
            <v>WHHOST1</v>
          </cell>
          <cell r="B26" t="str">
            <v>UX-CPU-HP-00043</v>
          </cell>
          <cell r="C26" t="str">
            <v>Y</v>
          </cell>
          <cell r="D26" t="str">
            <v>D</v>
          </cell>
          <cell r="E26" t="str">
            <v>Mileage정보시스템</v>
          </cell>
          <cell r="F26" t="str">
            <v>워커힐</v>
          </cell>
          <cell r="G26" t="str">
            <v>통합경영정보시스템</v>
          </cell>
        </row>
        <row r="27">
          <cell r="A27" t="str">
            <v>WHHOST1</v>
          </cell>
          <cell r="B27" t="str">
            <v>UX-CPU-HP-00043</v>
          </cell>
          <cell r="C27" t="str">
            <v>Y</v>
          </cell>
          <cell r="D27" t="str">
            <v>D</v>
          </cell>
          <cell r="E27" t="str">
            <v>식당정보시스템</v>
          </cell>
          <cell r="F27" t="str">
            <v>워커힐</v>
          </cell>
          <cell r="G27" t="str">
            <v>통합경영정보시스템</v>
          </cell>
        </row>
        <row r="28">
          <cell r="A28" t="str">
            <v>WHHOST1</v>
          </cell>
          <cell r="B28" t="str">
            <v>UX-CPU-HP-00043</v>
          </cell>
          <cell r="C28" t="str">
            <v>Y</v>
          </cell>
          <cell r="D28" t="str">
            <v>D</v>
          </cell>
          <cell r="E28" t="str">
            <v>KTR정보시스템</v>
          </cell>
          <cell r="F28" t="str">
            <v>워커힐</v>
          </cell>
          <cell r="G28" t="str">
            <v>통합경영정보시스템</v>
          </cell>
        </row>
        <row r="29">
          <cell r="A29" t="str">
            <v>WHHOST1</v>
          </cell>
          <cell r="B29" t="str">
            <v>UX-CPU-HP-00043</v>
          </cell>
          <cell r="C29" t="str">
            <v>Y</v>
          </cell>
          <cell r="D29" t="str">
            <v>D</v>
          </cell>
          <cell r="E29" t="str">
            <v>관리회계정보시스템</v>
          </cell>
          <cell r="F29" t="str">
            <v>워커힐</v>
          </cell>
          <cell r="G29" t="str">
            <v>통합경영정보시스템</v>
          </cell>
        </row>
        <row r="30">
          <cell r="A30" t="str">
            <v>WHHOST1</v>
          </cell>
          <cell r="B30" t="str">
            <v>UX-CPU-HP-00043</v>
          </cell>
          <cell r="C30" t="str">
            <v>Y</v>
          </cell>
          <cell r="D30" t="str">
            <v>D</v>
          </cell>
          <cell r="E30" t="str">
            <v>감사정보시스템</v>
          </cell>
          <cell r="F30" t="str">
            <v>워커힐</v>
          </cell>
          <cell r="G30" t="str">
            <v>통합경영정보시스템</v>
          </cell>
        </row>
        <row r="31">
          <cell r="A31" t="str">
            <v>WHHOST1</v>
          </cell>
          <cell r="B31" t="str">
            <v>UX-CPU-HP-00043</v>
          </cell>
          <cell r="C31" t="str">
            <v>Y</v>
          </cell>
          <cell r="D31" t="str">
            <v>D</v>
          </cell>
          <cell r="E31" t="str">
            <v>기준정보시스템</v>
          </cell>
          <cell r="F31" t="str">
            <v>워커힐</v>
          </cell>
          <cell r="G31" t="str">
            <v>통합경영정보시스템</v>
          </cell>
        </row>
        <row r="32">
          <cell r="B32" t="str">
            <v>UX-기타-기타-00001</v>
          </cell>
          <cell r="C32" t="str">
            <v>N</v>
          </cell>
          <cell r="F32" t="str">
            <v>워커힐</v>
          </cell>
          <cell r="G32" t="str">
            <v>HP9000 D370에 물린 Line Printer</v>
          </cell>
        </row>
        <row r="33">
          <cell r="B33" t="str">
            <v>UX-기타-기타-00002</v>
          </cell>
          <cell r="C33" t="str">
            <v>N</v>
          </cell>
          <cell r="F33" t="str">
            <v>워커힐</v>
          </cell>
          <cell r="G33" t="str">
            <v>HP9000 D370에 물린 Line Printer</v>
          </cell>
        </row>
        <row r="34">
          <cell r="A34" t="str">
            <v>WHHOST2</v>
          </cell>
          <cell r="B34" t="str">
            <v>UX-CPU-HP-00042</v>
          </cell>
          <cell r="C34" t="str">
            <v>N</v>
          </cell>
          <cell r="D34" t="str">
            <v>비대상</v>
          </cell>
          <cell r="F34" t="str">
            <v>워커힐</v>
          </cell>
          <cell r="G34" t="str">
            <v>프론트,POS 시스템 BACKUP용</v>
          </cell>
        </row>
        <row r="35">
          <cell r="A35" t="str">
            <v>SHERATON</v>
          </cell>
          <cell r="B35" t="str">
            <v>UX-CPU-IBM-00060</v>
          </cell>
          <cell r="C35" t="str">
            <v>N</v>
          </cell>
          <cell r="D35" t="str">
            <v>비대상</v>
          </cell>
          <cell r="F35" t="str">
            <v>워커힐</v>
          </cell>
          <cell r="G35" t="str">
            <v>구매,재무회계</v>
          </cell>
        </row>
        <row r="36">
          <cell r="A36" t="str">
            <v>whhost4</v>
          </cell>
          <cell r="B36" t="str">
            <v>UX-CPU-IBM-00070</v>
          </cell>
          <cell r="C36" t="str">
            <v>N</v>
          </cell>
          <cell r="D36" t="str">
            <v>비대상</v>
          </cell>
          <cell r="F36" t="str">
            <v>워커힐</v>
          </cell>
          <cell r="G36" t="str">
            <v>HOMEPAGE,구 C/S Notes</v>
          </cell>
        </row>
        <row r="37">
          <cell r="A37" t="str">
            <v>meetingmatrix</v>
          </cell>
          <cell r="B37" t="str">
            <v>NT-CPU-기타-00234</v>
          </cell>
          <cell r="C37" t="str">
            <v>N</v>
          </cell>
          <cell r="D37" t="str">
            <v>비대상</v>
          </cell>
          <cell r="F37" t="str">
            <v>워커힐</v>
          </cell>
          <cell r="G37" t="str">
            <v>판매원실적관리시스템</v>
          </cell>
        </row>
        <row r="38">
          <cell r="A38" t="str">
            <v>wh_tsm</v>
          </cell>
          <cell r="B38" t="str">
            <v>NT-CPU-COMPAQ-00592</v>
          </cell>
          <cell r="C38" t="str">
            <v>N</v>
          </cell>
          <cell r="D38" t="str">
            <v>비대상</v>
          </cell>
          <cell r="F38" t="str">
            <v>워커힐</v>
          </cell>
          <cell r="G38" t="str">
            <v>TCO Server</v>
          </cell>
        </row>
        <row r="39">
          <cell r="A39" t="str">
            <v>mis_server1</v>
          </cell>
          <cell r="B39" t="str">
            <v>NT-CPU-기타-00235</v>
          </cell>
          <cell r="C39" t="str">
            <v>N</v>
          </cell>
          <cell r="D39" t="str">
            <v>비대상</v>
          </cell>
          <cell r="F39" t="str">
            <v>워커힐</v>
          </cell>
          <cell r="G39" t="str">
            <v>워커힐 PDC,WINS,FileServer</v>
          </cell>
        </row>
        <row r="40">
          <cell r="A40" t="str">
            <v>PERFMAN_WH</v>
          </cell>
          <cell r="B40" t="str">
            <v>NT-CPU-COMPAQ-00597</v>
          </cell>
          <cell r="C40" t="str">
            <v>N</v>
          </cell>
          <cell r="D40" t="str">
            <v>비대상</v>
          </cell>
          <cell r="F40" t="str">
            <v>워커힐</v>
          </cell>
          <cell r="G40" t="str">
            <v>워커힐 PERFMAN CONSOLE서버</v>
          </cell>
        </row>
        <row r="41">
          <cell r="A41" t="str">
            <v>WHFAX</v>
          </cell>
          <cell r="B41" t="str">
            <v>NT-CPU-기타-00236</v>
          </cell>
          <cell r="C41" t="str">
            <v>N</v>
          </cell>
          <cell r="D41" t="str">
            <v>비대상</v>
          </cell>
          <cell r="F41" t="str">
            <v>워커힐</v>
          </cell>
          <cell r="G41" t="str">
            <v>워커힐 FAX서버</v>
          </cell>
        </row>
        <row r="42">
          <cell r="A42" t="str">
            <v>WHEPMS</v>
          </cell>
          <cell r="B42" t="str">
            <v>NT-CPU-IBM-00106</v>
          </cell>
          <cell r="C42" t="str">
            <v>N</v>
          </cell>
          <cell r="D42" t="str">
            <v>비대상</v>
          </cell>
          <cell r="F42" t="str">
            <v>워커힐</v>
          </cell>
          <cell r="G42" t="str">
            <v>전자구매시스템</v>
          </cell>
        </row>
        <row r="43">
          <cell r="A43" t="str">
            <v>WHDW</v>
          </cell>
          <cell r="B43" t="str">
            <v>NT-CPU-HP-00017</v>
          </cell>
          <cell r="C43" t="str">
            <v>N</v>
          </cell>
          <cell r="D43" t="str">
            <v>비대상</v>
          </cell>
          <cell r="F43" t="str">
            <v>워커힐</v>
          </cell>
          <cell r="G43" t="str">
            <v>워커힐 CRM/DW서버</v>
          </cell>
        </row>
        <row r="44">
          <cell r="A44" t="str">
            <v>WHCAS</v>
          </cell>
          <cell r="B44" t="str">
            <v>NT-CPU-IBM-10010</v>
          </cell>
          <cell r="C44" t="str">
            <v>N</v>
          </cell>
          <cell r="D44" t="str">
            <v>비대상</v>
          </cell>
          <cell r="F44" t="str">
            <v>워커힐</v>
          </cell>
          <cell r="G44" t="str">
            <v>워커힐 CAS Projcet(H/W)</v>
          </cell>
        </row>
        <row r="45">
          <cell r="A45" t="str">
            <v>whfirewall</v>
          </cell>
          <cell r="B45" t="str">
            <v>NT-CPU-IBM-00111</v>
          </cell>
          <cell r="C45" t="str">
            <v>N</v>
          </cell>
          <cell r="D45" t="str">
            <v>비대상</v>
          </cell>
          <cell r="F45" t="str">
            <v>워커힐</v>
          </cell>
          <cell r="G45" t="str">
            <v>Firewall Server</v>
          </cell>
        </row>
        <row r="46">
          <cell r="A46" t="str">
            <v>PRIDWH</v>
          </cell>
          <cell r="B46" t="str">
            <v>NT-CPU-COMPAQ-00598</v>
          </cell>
          <cell r="C46" t="str">
            <v>N</v>
          </cell>
          <cell r="D46" t="str">
            <v>비대상</v>
          </cell>
          <cell r="F46" t="str">
            <v>워커힐</v>
          </cell>
          <cell r="G46" t="str">
            <v>Prid Server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>
        <row r="1">
          <cell r="A1" t="str">
            <v>서버명</v>
          </cell>
        </row>
      </sheetData>
      <sheetData sheetId="23">
        <row r="1">
          <cell r="A1" t="str">
            <v>서버명</v>
          </cell>
        </row>
      </sheetData>
      <sheetData sheetId="24">
        <row r="1">
          <cell r="A1" t="str">
            <v>서버명</v>
          </cell>
        </row>
      </sheetData>
      <sheetData sheetId="25">
        <row r="1">
          <cell r="A1" t="str">
            <v>서버명</v>
          </cell>
        </row>
      </sheetData>
      <sheetData sheetId="26">
        <row r="1">
          <cell r="A1" t="str">
            <v>서버명</v>
          </cell>
        </row>
      </sheetData>
      <sheetData sheetId="27">
        <row r="1">
          <cell r="A1" t="str">
            <v>서버명</v>
          </cell>
        </row>
      </sheetData>
      <sheetData sheetId="28">
        <row r="1">
          <cell r="A1" t="str">
            <v>서버명</v>
          </cell>
        </row>
      </sheetData>
      <sheetData sheetId="29">
        <row r="1">
          <cell r="A1" t="str">
            <v>서버명</v>
          </cell>
        </row>
      </sheetData>
      <sheetData sheetId="30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Service Class 분류 기준"/>
      <sheetName val="금액"/>
      <sheetName val="Factor"/>
      <sheetName val="초기구축"/>
      <sheetName val="변경관리"/>
      <sheetName val="구성관리"/>
      <sheetName val="자산관리"/>
      <sheetName val="Monitoring"/>
      <sheetName val="장애 접수"/>
      <sheetName val="장애처리"/>
      <sheetName val="정기점검"/>
      <sheetName val="개별 백업"/>
      <sheetName val="DM"/>
      <sheetName val="Storage"/>
      <sheetName val="보안"/>
      <sheetName val="성능"/>
      <sheetName val="Service Class 조사 (종합)"/>
      <sheetName val="서버별 백업"/>
      <sheetName val="Sheet2"/>
      <sheetName val="Sheet3"/>
      <sheetName val="Best1"/>
      <sheetName val="Net-Backup"/>
      <sheetName val="SL Master(SKC정보소재사업부문)"/>
      <sheetName val="SL Master(케미칼)"/>
      <sheetName val="SL Master(SK Corp)"/>
      <sheetName val="SL Master(건설)"/>
      <sheetName val="SL Master(SKC화학사업부문)"/>
      <sheetName val="SL Master(해운)"/>
      <sheetName val="SL Master(SKT)"/>
      <sheetName val="Tivoli"/>
      <sheetName val="SL Master(워커힐)"/>
      <sheetName val="index"/>
      <sheetName val="추이"/>
      <sheetName val="선번"/>
      <sheetName val="Unix-price"/>
      <sheetName val="Service_Class_분류_기준"/>
      <sheetName val="장애_접수"/>
      <sheetName val="개별_백업"/>
      <sheetName val="Service_Class_조사_(종합)"/>
      <sheetName val="서버별_백업"/>
      <sheetName val="SL_Master(SKC정보소재사업부문)"/>
      <sheetName val="SL_Master(케미칼)"/>
      <sheetName val="SL_Master(SK_Corp)"/>
      <sheetName val="SL_Master(건설)"/>
      <sheetName val="SL_Master(SKC화학사업부문)"/>
      <sheetName val="SL_Master(해운)"/>
      <sheetName val="SL_Master(SKT)"/>
      <sheetName val="SL_Master(워커힐)"/>
      <sheetName val="이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1">
          <cell r="A1" t="str">
            <v>ammy</v>
          </cell>
          <cell r="B1">
            <v>230035.04</v>
          </cell>
        </row>
        <row r="2">
          <cell r="A2" t="str">
            <v>fep1</v>
          </cell>
          <cell r="B2">
            <v>912613.78399999999</v>
          </cell>
        </row>
        <row r="3">
          <cell r="A3" t="str">
            <v>fep2</v>
          </cell>
          <cell r="B3">
            <v>844002.88699999999</v>
          </cell>
        </row>
        <row r="4">
          <cell r="A4" t="str">
            <v>hkss</v>
          </cell>
          <cell r="B4">
            <v>255862.78400000001</v>
          </cell>
        </row>
        <row r="5">
          <cell r="A5" t="str">
            <v>huvis</v>
          </cell>
          <cell r="B5">
            <v>858961.05599999998</v>
          </cell>
        </row>
        <row r="6">
          <cell r="A6" t="str">
            <v>juddy</v>
          </cell>
          <cell r="B6">
            <v>376036.576</v>
          </cell>
        </row>
        <row r="7">
          <cell r="A7" t="str">
            <v>kiddy</v>
          </cell>
          <cell r="B7">
            <v>242514.17600000001</v>
          </cell>
        </row>
        <row r="8">
          <cell r="A8" t="str">
            <v>liberty</v>
          </cell>
          <cell r="B8">
            <v>77668.576000000001</v>
          </cell>
        </row>
        <row r="9">
          <cell r="A9" t="str">
            <v>misdev</v>
          </cell>
          <cell r="B9">
            <v>1309275.4240000001</v>
          </cell>
        </row>
        <row r="10">
          <cell r="A10" t="str">
            <v>misskp</v>
          </cell>
          <cell r="B10">
            <v>172799.16800000001</v>
          </cell>
        </row>
        <row r="11">
          <cell r="A11" t="str">
            <v>nesty</v>
          </cell>
          <cell r="B11">
            <v>111123.10400000001</v>
          </cell>
        </row>
        <row r="12">
          <cell r="A12" t="str">
            <v>ocbsapp1</v>
          </cell>
          <cell r="B12">
            <v>45810.911999999997</v>
          </cell>
        </row>
        <row r="13">
          <cell r="A13" t="str">
            <v>ocbspg</v>
          </cell>
          <cell r="B13">
            <v>901213.02099999995</v>
          </cell>
        </row>
        <row r="14">
          <cell r="A14" t="str">
            <v>punky</v>
          </cell>
          <cell r="B14">
            <v>286916.51199999999</v>
          </cell>
        </row>
        <row r="15">
          <cell r="A15" t="str">
            <v>QUETY</v>
          </cell>
          <cell r="B15">
            <v>28066.304</v>
          </cell>
        </row>
        <row r="16">
          <cell r="A16" t="str">
            <v>rooky</v>
          </cell>
          <cell r="B16">
            <v>977637.79799999995</v>
          </cell>
        </row>
        <row r="17">
          <cell r="A17" t="str">
            <v>skcams</v>
          </cell>
          <cell r="B17">
            <v>2310083.7719999999</v>
          </cell>
        </row>
        <row r="18">
          <cell r="A18" t="str">
            <v>skcmss</v>
          </cell>
          <cell r="B18">
            <v>12016914.327</v>
          </cell>
        </row>
        <row r="19">
          <cell r="A19" t="str">
            <v>skdb2</v>
          </cell>
          <cell r="B19">
            <v>13322.752</v>
          </cell>
        </row>
        <row r="20">
          <cell r="A20" t="str">
            <v>skgeaib</v>
          </cell>
          <cell r="B20">
            <v>3591.616</v>
          </cell>
        </row>
        <row r="21">
          <cell r="A21" t="str">
            <v>skgeaim</v>
          </cell>
          <cell r="B21">
            <v>9536.6720000000005</v>
          </cell>
        </row>
        <row r="22">
          <cell r="A22" t="str">
            <v>skgedw</v>
          </cell>
          <cell r="B22">
            <v>1004218.432</v>
          </cell>
        </row>
        <row r="23">
          <cell r="A23" t="str">
            <v>skgwmisp</v>
          </cell>
          <cell r="B23">
            <v>281935.55200000003</v>
          </cell>
        </row>
        <row r="24">
          <cell r="A24" t="str">
            <v>skgwmist</v>
          </cell>
          <cell r="B24">
            <v>423550.94400000002</v>
          </cell>
        </row>
        <row r="25">
          <cell r="A25" t="str">
            <v>sktmk1</v>
          </cell>
          <cell r="B25">
            <v>615848.16399999999</v>
          </cell>
        </row>
        <row r="26">
          <cell r="A26" t="str">
            <v>smr50</v>
          </cell>
          <cell r="B26">
            <v>806990.63399999996</v>
          </cell>
        </row>
        <row r="27">
          <cell r="A27" t="str">
            <v>spnode15</v>
          </cell>
          <cell r="B27">
            <v>862695.2</v>
          </cell>
        </row>
        <row r="28">
          <cell r="A28" t="str">
            <v>sunny</v>
          </cell>
          <cell r="B28">
            <v>3614280.9240000001</v>
          </cell>
        </row>
        <row r="29">
          <cell r="A29" t="str">
            <v>ykpb</v>
          </cell>
          <cell r="B29">
            <v>520249.59999999998</v>
          </cell>
        </row>
      </sheetData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>
        <row r="1">
          <cell r="A1" t="str">
            <v>ammy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  <sheetName val="Area Adjusting"/>
      <sheetName val="Netsgo-1"/>
      <sheetName val="Care"/>
      <sheetName val="OPT"/>
      <sheetName val="SV"/>
      <sheetName val="서버별 백업"/>
      <sheetName val="Page 1A - Proposal Strategy "/>
      <sheetName val="cgs09rte"/>
      <sheetName val="Carepaq"/>
      <sheetName val="ENG_General_Calc"/>
      <sheetName val="품목"/>
      <sheetName val="BASIC (2)"/>
      <sheetName val="지하철"/>
      <sheetName val="9618UH"/>
      <sheetName val="주요공정"/>
      <sheetName val="단가표"/>
      <sheetName val="Svr"/>
      <sheetName val="OPT7"/>
      <sheetName val="SV7"/>
      <sheetName val="Sheet15"/>
      <sheetName val="Benchmarks"/>
      <sheetName val="Baseline"/>
      <sheetName val="Benchmarks Output"/>
      <sheetName val="Metrics"/>
      <sheetName val="Data"/>
      <sheetName val="Business Case"/>
      <sheetName val="Graphs"/>
      <sheetName val="IT Inventory"/>
      <sheetName val="Version"/>
      <sheetName val="Project Inventory - Baseline"/>
      <sheetName val="내역서(1)"/>
      <sheetName val="총괄(강남북)"/>
      <sheetName val="#REF"/>
      <sheetName val="BSC별 (2)"/>
      <sheetName val="계산"/>
      <sheetName val="WPABX"/>
      <sheetName val="ERL_TBL"/>
      <sheetName val="예측트래픽(00.07월)"/>
      <sheetName val="예측트래픽(00.08월)"/>
      <sheetName val="ERL"/>
      <sheetName val="종합순위(최종)"/>
      <sheetName val="경인"/>
      <sheetName val="BTS및중계기(공정현황)"/>
      <sheetName val="증설및기타(공정현황)"/>
      <sheetName val="Calc_V1_2_(2)"/>
      <sheetName val="Calc_V1_2"/>
      <sheetName val="Area_Adjusting"/>
      <sheetName val="서버별_백업"/>
      <sheetName val="Page_1A_-_Proposal_Strategy_"/>
      <sheetName val="BASIC_(2)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">
          <cell r="M1">
            <v>235</v>
          </cell>
        </row>
      </sheetData>
      <sheetData sheetId="47">
        <row r="1">
          <cell r="M1">
            <v>384</v>
          </cell>
        </row>
      </sheetData>
      <sheetData sheetId="48"/>
      <sheetData sheetId="49"/>
      <sheetData sheetId="50"/>
      <sheetData sheetId="5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DS"/>
      <sheetName val="NW"/>
      <sheetName val="PC"/>
      <sheetName val="Port"/>
      <sheetName val="공사비(프로젝트성)"/>
      <sheetName val="전원설비"/>
      <sheetName val="UPS(종합)"/>
      <sheetName val="UPS(공사)"/>
      <sheetName val="UPS(내역)"/>
      <sheetName val="UPS(설치)"/>
      <sheetName val="OA교육비"/>
      <sheetName val="Oper Amount"/>
      <sheetName val="1999년도 서비스 기기 적용단가 합의서-첨부(20032"/>
      <sheetName val="설계명세서(종합)"/>
      <sheetName val="소요자재"/>
      <sheetName val="노무산출서"/>
      <sheetName val="설계명세(선로분)"/>
      <sheetName val="DSSR_설치내역1"/>
      <sheetName val="inputarea_ref"/>
      <sheetName val="Sheet1"/>
      <sheetName val="이름표"/>
      <sheetName val="DB"/>
      <sheetName val="종합(Body산정과정) HP UX"/>
      <sheetName val="목차"/>
      <sheetName val="조서목차"/>
      <sheetName val="Macro(전선)"/>
      <sheetName val="FTE"/>
      <sheetName val="Page 1A - Proposal Strategy "/>
      <sheetName val="DS_2Q"/>
      <sheetName val="중간재 재공"/>
      <sheetName val="1999년도_서비스_기기_적용단가_합의서-첨부(20032"/>
      <sheetName val="Oper_Amount"/>
      <sheetName val="종합(Body산정과정)_HP_UX"/>
      <sheetName val="Page_1A_-_Proposal_Strategy_"/>
      <sheetName val="중간재_재공"/>
      <sheetName val="동원(3)"/>
      <sheetName val="예정(3)"/>
      <sheetName val="Calc V1.2"/>
      <sheetName val="Calc V1.2 (2)"/>
    </sheetNames>
    <sheetDataSet>
      <sheetData sheetId="0">
        <row r="8">
          <cell r="I8">
            <v>0.54239999999999999</v>
          </cell>
        </row>
        <row r="9">
          <cell r="I9">
            <v>0.54239999999999999</v>
          </cell>
        </row>
        <row r="10">
          <cell r="I10">
            <v>0.46450000000000002</v>
          </cell>
        </row>
        <row r="11">
          <cell r="I11">
            <v>0.50374999999999992</v>
          </cell>
        </row>
        <row r="12">
          <cell r="I12">
            <v>0.54249999999999998</v>
          </cell>
        </row>
        <row r="13">
          <cell r="I13">
            <v>0.50350000000000006</v>
          </cell>
        </row>
        <row r="14">
          <cell r="I14">
            <v>0.54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컴팩 "/>
      <sheetName val="컴팩  (2)"/>
      <sheetName val="COMPAQ-LIST"/>
      <sheetName val="컴팩 ATLAS"/>
      <sheetName val="Calc V1.2"/>
      <sheetName val="Calc V1.2 (2)"/>
      <sheetName val="서버별 백업"/>
      <sheetName val="Common"/>
      <sheetName val="충남 (2)"/>
      <sheetName val="Care"/>
      <sheetName val="컴팩_"/>
      <sheetName val="컴팩__(2)"/>
      <sheetName val="컴팩_ATLAS"/>
      <sheetName val="충남_(2)"/>
      <sheetName val="Calc_V1_2"/>
      <sheetName val="Calc_V1_2_(2)"/>
      <sheetName val="서버별_백업"/>
      <sheetName val="총괄표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Part No.</v>
          </cell>
          <cell r="B2" t="str">
            <v>Deskpro EP Series Celeron</v>
          </cell>
          <cell r="C2" t="str">
            <v>K1</v>
          </cell>
        </row>
        <row r="5">
          <cell r="A5" t="str">
            <v>386177-A74</v>
          </cell>
          <cell r="B5" t="str">
            <v>Model C366/4.3/32 (W95)</v>
          </cell>
          <cell r="C5">
            <v>960</v>
          </cell>
        </row>
        <row r="6">
          <cell r="A6" t="str">
            <v>386177-A72</v>
          </cell>
          <cell r="B6" t="str">
            <v>Model C366/6.4/64/CDS (W95)</v>
          </cell>
          <cell r="C6">
            <v>1170</v>
          </cell>
        </row>
        <row r="7">
          <cell r="A7" t="str">
            <v>401608-A72</v>
          </cell>
          <cell r="B7" t="str">
            <v>Model C400/4.3/32 (W95)</v>
          </cell>
          <cell r="C7">
            <v>1060</v>
          </cell>
        </row>
        <row r="8">
          <cell r="A8" t="str">
            <v>401608-A74</v>
          </cell>
          <cell r="B8" t="str">
            <v>Model C400/6.4/64/CDS (W95)</v>
          </cell>
          <cell r="C8">
            <v>1270</v>
          </cell>
        </row>
        <row r="10">
          <cell r="A10" t="str">
            <v>Part No.</v>
          </cell>
          <cell r="B10" t="str">
            <v>DP EP series Pentium II &amp; III</v>
          </cell>
          <cell r="C10" t="str">
            <v>K1</v>
          </cell>
        </row>
        <row r="13">
          <cell r="A13" t="str">
            <v>356102-A77</v>
          </cell>
          <cell r="B13" t="str">
            <v>Model 6350/4.3/64 (W95)</v>
          </cell>
          <cell r="C13">
            <v>1440</v>
          </cell>
        </row>
        <row r="14">
          <cell r="A14" t="str">
            <v>356102-A78</v>
          </cell>
          <cell r="B14" t="str">
            <v>Model 6350/4.3/64 (NT4)</v>
          </cell>
          <cell r="C14">
            <v>1480</v>
          </cell>
        </row>
        <row r="15">
          <cell r="A15" t="str">
            <v>166752-A72</v>
          </cell>
          <cell r="B15" t="str">
            <v>Model 6350/6.4/64/CDS (W95)</v>
          </cell>
          <cell r="C15">
            <v>1490</v>
          </cell>
        </row>
        <row r="16">
          <cell r="A16" t="str">
            <v>166752-A73</v>
          </cell>
          <cell r="B16" t="str">
            <v>Model 6350/6.4/64 (NT4)</v>
          </cell>
          <cell r="C16">
            <v>1540</v>
          </cell>
        </row>
        <row r="17">
          <cell r="A17" t="str">
            <v>166762-A72</v>
          </cell>
          <cell r="B17" t="str">
            <v>Model 6400/6.4/64/CDS (W95)</v>
          </cell>
          <cell r="C17">
            <v>1800</v>
          </cell>
        </row>
        <row r="18">
          <cell r="A18" t="str">
            <v>166762-A73</v>
          </cell>
          <cell r="B18" t="str">
            <v>Model 6400/6.4/64/CDS (NT4)</v>
          </cell>
          <cell r="C18">
            <v>1850</v>
          </cell>
        </row>
        <row r="19">
          <cell r="A19" t="str">
            <v>386178-A74</v>
          </cell>
          <cell r="B19" t="str">
            <v>Model PIII 450/10.0/64/CDS (W95)</v>
          </cell>
          <cell r="C19">
            <v>2250</v>
          </cell>
        </row>
        <row r="20">
          <cell r="A20" t="str">
            <v>386178-A75</v>
          </cell>
          <cell r="B20" t="str">
            <v>Model PIII 450/10.0/64/CDS (NT4)</v>
          </cell>
          <cell r="C20">
            <v>2280</v>
          </cell>
        </row>
        <row r="21">
          <cell r="A21" t="str">
            <v>386179-A74</v>
          </cell>
          <cell r="B21" t="str">
            <v>Model PIII 500/10.0/64/CDS (W95)</v>
          </cell>
          <cell r="C21">
            <v>2590</v>
          </cell>
        </row>
        <row r="22">
          <cell r="A22" t="str">
            <v>386179-A75</v>
          </cell>
          <cell r="B22" t="str">
            <v>Model PIII 500/10.0/64/CDS (NT4)</v>
          </cell>
          <cell r="C22">
            <v>2620</v>
          </cell>
        </row>
        <row r="24">
          <cell r="A24" t="str">
            <v>Part No.</v>
          </cell>
          <cell r="B24" t="str">
            <v>DP EN series</v>
          </cell>
          <cell r="C24" t="str">
            <v>K1</v>
          </cell>
        </row>
        <row r="27">
          <cell r="A27" t="str">
            <v>178922-A75</v>
          </cell>
          <cell r="B27" t="str">
            <v>Model 6350/6.4/64/CDS (W95)</v>
          </cell>
          <cell r="C27">
            <v>1680</v>
          </cell>
        </row>
        <row r="28">
          <cell r="A28" t="str">
            <v>178922-A78</v>
          </cell>
          <cell r="B28" t="str">
            <v>Model 6350/6.4/64/CDS (NT4)</v>
          </cell>
          <cell r="C28">
            <v>1720</v>
          </cell>
        </row>
        <row r="29">
          <cell r="A29" t="str">
            <v>178932-A72</v>
          </cell>
          <cell r="B29" t="str">
            <v>Model 6400/6.4/64/CDS (W95)</v>
          </cell>
          <cell r="C29">
            <v>1880</v>
          </cell>
        </row>
        <row r="30">
          <cell r="A30" t="str">
            <v>178932-A73</v>
          </cell>
          <cell r="B30" t="str">
            <v>Model 6400/6.4/64/CDS (NT4)</v>
          </cell>
          <cell r="C30">
            <v>2010</v>
          </cell>
        </row>
        <row r="31">
          <cell r="A31" t="str">
            <v>178942-A73</v>
          </cell>
          <cell r="B31" t="str">
            <v>Model 6450/6.4/64/CDS (NT4)</v>
          </cell>
          <cell r="C31">
            <v>2380</v>
          </cell>
        </row>
        <row r="32">
          <cell r="A32" t="str">
            <v>326302-A73</v>
          </cell>
          <cell r="B32" t="str">
            <v>Model 6350/S4.3/64/CDS (NT4)</v>
          </cell>
          <cell r="C32">
            <v>2190</v>
          </cell>
        </row>
        <row r="33">
          <cell r="A33" t="str">
            <v>326402-A72</v>
          </cell>
          <cell r="B33" t="str">
            <v>Model 6400/S4.3/64/CDS (NT4)</v>
          </cell>
          <cell r="C33">
            <v>2470</v>
          </cell>
        </row>
        <row r="34">
          <cell r="A34" t="str">
            <v>326552-A72</v>
          </cell>
          <cell r="B34" t="str">
            <v>Model M 6450/S9.1/64/CDS (NT4)</v>
          </cell>
          <cell r="C34">
            <v>3030</v>
          </cell>
        </row>
        <row r="35">
          <cell r="A35" t="str">
            <v>386184-A72</v>
          </cell>
          <cell r="B35" t="str">
            <v>Model M PIII 450/10.0/128/CDS (W95)</v>
          </cell>
          <cell r="C35">
            <v>2550</v>
          </cell>
        </row>
        <row r="36">
          <cell r="A36" t="str">
            <v>386184-A73</v>
          </cell>
          <cell r="B36" t="str">
            <v xml:space="preserve">Model M PIII 450/10.0/128/CDS (NT4) </v>
          </cell>
          <cell r="C36">
            <v>2570</v>
          </cell>
        </row>
        <row r="37">
          <cell r="A37" t="str">
            <v>386185-A72</v>
          </cell>
          <cell r="B37" t="str">
            <v>Model M PIII 500/10.0/128/CDS (W95)</v>
          </cell>
          <cell r="C37">
            <v>2970</v>
          </cell>
        </row>
        <row r="38">
          <cell r="A38" t="str">
            <v>386185-A73</v>
          </cell>
          <cell r="B38" t="str">
            <v>Model M PIII 500/10.0/128/CDS (NT4)</v>
          </cell>
          <cell r="C38">
            <v>3000</v>
          </cell>
        </row>
        <row r="40">
          <cell r="A40" t="str">
            <v>Part. No</v>
          </cell>
          <cell r="B40" t="str">
            <v xml:space="preserve">DP EN series SFF </v>
          </cell>
          <cell r="C40" t="str">
            <v>K1</v>
          </cell>
        </row>
        <row r="43">
          <cell r="A43" t="str">
            <v>314052-A72</v>
          </cell>
          <cell r="B43" t="str">
            <v>Model 6350/6.4/32 (W95)</v>
          </cell>
          <cell r="C43">
            <v>1390</v>
          </cell>
        </row>
        <row r="44">
          <cell r="A44" t="str">
            <v>314052-A73</v>
          </cell>
          <cell r="B44" t="str">
            <v>Model 6350/6.4/32/CDS (W95)</v>
          </cell>
          <cell r="C44">
            <v>1580</v>
          </cell>
        </row>
        <row r="45">
          <cell r="A45" t="str">
            <v>314062-A73</v>
          </cell>
          <cell r="B45" t="str">
            <v>Model 6400/6.4/32/CDS (W95)</v>
          </cell>
          <cell r="C45">
            <v>1890</v>
          </cell>
        </row>
        <row r="46">
          <cell r="A46" t="str">
            <v>314072-A73</v>
          </cell>
          <cell r="B46" t="str">
            <v>Model 6450/6.4/64/CDS (W95)</v>
          </cell>
          <cell r="C46">
            <v>2370</v>
          </cell>
        </row>
        <row r="48">
          <cell r="A48" t="str">
            <v>Part No.</v>
          </cell>
          <cell r="B48" t="str">
            <v>Description</v>
          </cell>
          <cell r="C48" t="str">
            <v>K1</v>
          </cell>
        </row>
        <row r="49">
          <cell r="A49" t="str">
            <v>Audio Cards</v>
          </cell>
        </row>
        <row r="50">
          <cell r="A50" t="str">
            <v>294146-B21</v>
          </cell>
          <cell r="B50" t="str">
            <v>Wavetable Soundcard</v>
          </cell>
          <cell r="C50">
            <v>75</v>
          </cell>
        </row>
        <row r="51">
          <cell r="A51" t="str">
            <v>185061-001</v>
          </cell>
          <cell r="B51" t="str">
            <v>SuperDisk LS-120 Drive Kit</v>
          </cell>
          <cell r="C51">
            <v>196.89600000000002</v>
          </cell>
        </row>
        <row r="52">
          <cell r="A52" t="str">
            <v>Hard Drives</v>
          </cell>
        </row>
        <row r="53">
          <cell r="A53" t="str">
            <v>294368-B21</v>
          </cell>
          <cell r="B53" t="str">
            <v>2.1GB HDD UATA</v>
          </cell>
          <cell r="C53">
            <v>295.34399999999999</v>
          </cell>
        </row>
        <row r="54">
          <cell r="A54" t="str">
            <v>296606-B21</v>
          </cell>
          <cell r="B54" t="str">
            <v>4.3GB UDMA HDD</v>
          </cell>
          <cell r="C54">
            <v>290</v>
          </cell>
        </row>
        <row r="55">
          <cell r="A55" t="str">
            <v>294244-B21</v>
          </cell>
          <cell r="B55" t="str">
            <v>6.4GB UDMA HDD</v>
          </cell>
          <cell r="C55">
            <v>340</v>
          </cell>
        </row>
        <row r="56">
          <cell r="A56" t="str">
            <v>294245-B21</v>
          </cell>
          <cell r="B56" t="str">
            <v>8.4GB UDMA HDD</v>
          </cell>
          <cell r="C56">
            <v>380</v>
          </cell>
        </row>
        <row r="57">
          <cell r="A57" t="str">
            <v>387473-B21</v>
          </cell>
          <cell r="B57" t="str">
            <v>10GB UDMA HDD</v>
          </cell>
          <cell r="C57">
            <v>410</v>
          </cell>
        </row>
        <row r="58">
          <cell r="A58" t="str">
            <v>294246-B21</v>
          </cell>
          <cell r="B58" t="str">
            <v>9.1GB UW SCSI HDD</v>
          </cell>
          <cell r="C58">
            <v>780</v>
          </cell>
        </row>
        <row r="59">
          <cell r="A59" t="str">
            <v>294371-B21</v>
          </cell>
          <cell r="B59" t="str">
            <v>4.3GB UW SCSI HDD</v>
          </cell>
          <cell r="C59">
            <v>530</v>
          </cell>
        </row>
        <row r="60">
          <cell r="A60" t="str">
            <v>ROMs</v>
          </cell>
        </row>
        <row r="61">
          <cell r="A61" t="str">
            <v>294358-B21</v>
          </cell>
          <cell r="B61" t="str">
            <v>24X Slim IDE CD-ROM Drive</v>
          </cell>
          <cell r="C61">
            <v>175.8</v>
          </cell>
        </row>
        <row r="62">
          <cell r="A62" t="str">
            <v>294240-B21</v>
          </cell>
          <cell r="B62" t="str">
            <v>32X CD-ROM Drive(IDE)</v>
          </cell>
          <cell r="C62">
            <v>110.75399999999999</v>
          </cell>
        </row>
        <row r="63">
          <cell r="A63" t="str">
            <v>185085-001</v>
          </cell>
          <cell r="B63" t="str">
            <v>PD Disc (Qty.2)</v>
          </cell>
          <cell r="C63">
            <v>85</v>
          </cell>
        </row>
        <row r="64">
          <cell r="A64" t="str">
            <v>185085-002</v>
          </cell>
          <cell r="B64" t="str">
            <v>PD Disc (Qty 5)</v>
          </cell>
          <cell r="C64">
            <v>185</v>
          </cell>
        </row>
        <row r="65">
          <cell r="A65" t="str">
            <v>Floppy Dives</v>
          </cell>
        </row>
        <row r="66">
          <cell r="A66" t="str">
            <v>294402-B21</v>
          </cell>
          <cell r="B66" t="str">
            <v>Iomega Zip 100 Drive</v>
          </cell>
          <cell r="C66">
            <v>120</v>
          </cell>
        </row>
        <row r="67">
          <cell r="A67" t="str">
            <v>185061-B25</v>
          </cell>
          <cell r="B67" t="str">
            <v>SuperDisk LS-120 Drive Kit -Opal color</v>
          </cell>
          <cell r="C67">
            <v>189.864</v>
          </cell>
        </row>
        <row r="68">
          <cell r="A68" t="str">
            <v>Controller Cards</v>
          </cell>
        </row>
        <row r="69">
          <cell r="A69" t="str">
            <v>294311-B21</v>
          </cell>
          <cell r="B69" t="str">
            <v>Ultra Wide Controller kit</v>
          </cell>
          <cell r="C69">
            <v>219.45700000000002</v>
          </cell>
        </row>
        <row r="70">
          <cell r="A70" t="str">
            <v>Cables &amp; Adapters</v>
          </cell>
        </row>
        <row r="71">
          <cell r="A71" t="str">
            <v>294162-B21</v>
          </cell>
          <cell r="B71" t="str">
            <v xml:space="preserve">Ultra ATA Cable Kit </v>
          </cell>
          <cell r="C71">
            <v>26.252799999999997</v>
          </cell>
        </row>
        <row r="72">
          <cell r="A72" t="str">
            <v>294360-B21</v>
          </cell>
          <cell r="B72" t="str">
            <v>UN SCSI Cable Kit</v>
          </cell>
          <cell r="C72">
            <v>37</v>
          </cell>
        </row>
        <row r="73">
          <cell r="A73" t="str">
            <v>Video &amp; Cache</v>
          </cell>
        </row>
        <row r="74">
          <cell r="A74" t="str">
            <v>270830-B21</v>
          </cell>
          <cell r="B74" t="str">
            <v>S3V2 1MB SGRAM Video Upgrade</v>
          </cell>
          <cell r="C74">
            <v>40</v>
          </cell>
        </row>
        <row r="75">
          <cell r="A75" t="str">
            <v>270834-B21</v>
          </cell>
          <cell r="B75" t="str">
            <v>S3V2 2MB SGRAM Video Upgrade</v>
          </cell>
          <cell r="C75">
            <v>49.010909090909088</v>
          </cell>
        </row>
        <row r="76">
          <cell r="A76" t="str">
            <v>270831-B21</v>
          </cell>
          <cell r="B76" t="str">
            <v>4MB WRAM Matrox Millenium II</v>
          </cell>
          <cell r="C76">
            <v>140</v>
          </cell>
        </row>
        <row r="77">
          <cell r="A77" t="str">
            <v>270833-B21</v>
          </cell>
          <cell r="B77" t="str">
            <v>12MB WRAM Matrox Millenium II</v>
          </cell>
          <cell r="C77">
            <v>334.55272727272722</v>
          </cell>
        </row>
        <row r="78">
          <cell r="A78" t="str">
            <v>294227-B21</v>
          </cell>
          <cell r="B78" t="str">
            <v>4MB SGRAM 100MHz</v>
          </cell>
          <cell r="C78">
            <v>60.943999999999996</v>
          </cell>
        </row>
        <row r="79">
          <cell r="A79" t="str">
            <v>243011-002</v>
          </cell>
          <cell r="B79" t="str">
            <v>8-MB Memory Kit (2x4MB, EDO SiMMs, 60ns)</v>
          </cell>
          <cell r="C79">
            <v>45.942399999999992</v>
          </cell>
        </row>
        <row r="80">
          <cell r="A80" t="str">
            <v>243012-002</v>
          </cell>
          <cell r="B80" t="str">
            <v>16-MB Memory Kit (2x4MB, EDO SiMMs, 60ns)</v>
          </cell>
          <cell r="C80">
            <v>72</v>
          </cell>
        </row>
        <row r="81">
          <cell r="A81" t="str">
            <v>278797-B21</v>
          </cell>
          <cell r="B81" t="str">
            <v>256KB L2 Cache Memory kit</v>
          </cell>
          <cell r="C81">
            <v>25</v>
          </cell>
        </row>
        <row r="82">
          <cell r="A82" t="str">
            <v>SDRAM &amp; SDRAM ECC</v>
          </cell>
        </row>
        <row r="83">
          <cell r="A83" t="str">
            <v>243013-002</v>
          </cell>
          <cell r="B83" t="str">
            <v>32-MB Memory Kit (2x4MB, EDO SiMMs, 60ns)</v>
          </cell>
          <cell r="C83">
            <v>126</v>
          </cell>
        </row>
        <row r="84">
          <cell r="A84" t="str">
            <v>243014-002</v>
          </cell>
          <cell r="B84" t="str">
            <v>64-MB Memory Kit (2x4MB, EDO SiMMs, 60ns)</v>
          </cell>
          <cell r="C84">
            <v>205.1</v>
          </cell>
        </row>
        <row r="85">
          <cell r="A85" t="str">
            <v>270840-B21</v>
          </cell>
          <cell r="B85" t="str">
            <v>16MB SDRAM DIMM Memory Kit (ECC)</v>
          </cell>
          <cell r="C85">
            <v>83</v>
          </cell>
        </row>
        <row r="86">
          <cell r="A86" t="str">
            <v>270841-B21</v>
          </cell>
          <cell r="B86" t="str">
            <v>32MB SDRAM DIMM Memory Kit (ECC)</v>
          </cell>
          <cell r="C86">
            <v>128.91999999999999</v>
          </cell>
        </row>
        <row r="87">
          <cell r="A87" t="str">
            <v>270842-B21</v>
          </cell>
          <cell r="B87" t="str">
            <v>64MB SDRAM DIMM Memory Kit (ECC)</v>
          </cell>
          <cell r="C87">
            <v>257.47938461538462</v>
          </cell>
        </row>
        <row r="88">
          <cell r="A88" t="str">
            <v>270843-B21</v>
          </cell>
          <cell r="B88" t="str">
            <v>128MB SDRAM DIMM Memory Kit (ECC)</v>
          </cell>
          <cell r="C88">
            <v>450.60776119402982</v>
          </cell>
        </row>
        <row r="89">
          <cell r="A89" t="str">
            <v>242802-B21</v>
          </cell>
          <cell r="B89" t="str">
            <v>8MB SDRAM DIMM Memory Kit</v>
          </cell>
          <cell r="C89">
            <v>45.122</v>
          </cell>
        </row>
        <row r="90">
          <cell r="A90" t="str">
            <v>242803-B21</v>
          </cell>
          <cell r="B90" t="str">
            <v>16MB SDRAM DIMM Memory Kit</v>
          </cell>
          <cell r="C90">
            <v>72</v>
          </cell>
        </row>
        <row r="91">
          <cell r="A91" t="str">
            <v>242804-B21</v>
          </cell>
          <cell r="B91" t="str">
            <v>32MB SDRAM DIMM Memory Kit</v>
          </cell>
          <cell r="C91">
            <v>126</v>
          </cell>
        </row>
        <row r="92">
          <cell r="A92" t="str">
            <v>242805-B21</v>
          </cell>
          <cell r="B92" t="str">
            <v>64MB SDRAM DIMM Memory Kit</v>
          </cell>
          <cell r="C92">
            <v>213.30399999999997</v>
          </cell>
        </row>
        <row r="93">
          <cell r="A93" t="str">
            <v>270812-B21</v>
          </cell>
          <cell r="B93" t="str">
            <v>128MB SDRAM DIMM Memory Kit</v>
          </cell>
          <cell r="C93">
            <v>411.46215384615385</v>
          </cell>
        </row>
        <row r="94">
          <cell r="A94" t="str">
            <v>166611-B21</v>
          </cell>
          <cell r="B94" t="str">
            <v>16MB SDRAM 100MHz DIMM</v>
          </cell>
          <cell r="C94">
            <v>73</v>
          </cell>
        </row>
        <row r="95">
          <cell r="A95" t="str">
            <v>166612-B21</v>
          </cell>
          <cell r="B95" t="str">
            <v>32MB SDRAM 100MHz DIMM</v>
          </cell>
          <cell r="C95">
            <v>131</v>
          </cell>
        </row>
        <row r="96">
          <cell r="A96" t="str">
            <v>166613-B21</v>
          </cell>
          <cell r="B96" t="str">
            <v>64MB SDRAM 100MHz DIMM</v>
          </cell>
          <cell r="C96">
            <v>237.0044444444444</v>
          </cell>
        </row>
        <row r="97">
          <cell r="A97" t="str">
            <v>166614-B21</v>
          </cell>
          <cell r="B97" t="str">
            <v>128MB SDRAM 100MHz DIMM</v>
          </cell>
          <cell r="C97">
            <v>427.12888888888892</v>
          </cell>
        </row>
        <row r="98">
          <cell r="A98" t="str">
            <v>166615-B21</v>
          </cell>
          <cell r="B98" t="str">
            <v>16MB SDRAM 100MHz DIMM ECC</v>
          </cell>
          <cell r="C98">
            <v>86</v>
          </cell>
        </row>
        <row r="99">
          <cell r="A99" t="str">
            <v>166616-B21</v>
          </cell>
          <cell r="B99" t="str">
            <v xml:space="preserve">32MB SDRAM 100MHz DIMM ECC </v>
          </cell>
          <cell r="C99">
            <v>149</v>
          </cell>
        </row>
        <row r="100">
          <cell r="A100" t="str">
            <v>166617-B21</v>
          </cell>
          <cell r="B100" t="str">
            <v>64MB SDRAM 100MHz DIMM ECC</v>
          </cell>
          <cell r="C100">
            <v>280</v>
          </cell>
        </row>
        <row r="101">
          <cell r="A101" t="str">
            <v>166618-B21</v>
          </cell>
          <cell r="B101" t="str">
            <v>128MB SDRAM 100MHz DIMM ECC</v>
          </cell>
          <cell r="C101">
            <v>486.94709677419354</v>
          </cell>
        </row>
        <row r="102">
          <cell r="A102" t="str">
            <v>Mouse Kits</v>
          </cell>
        </row>
        <row r="103">
          <cell r="A103" t="str">
            <v>143315-B21</v>
          </cell>
          <cell r="B103" t="str">
            <v>Mouse -Opal</v>
          </cell>
          <cell r="C103">
            <v>19.689600000000002</v>
          </cell>
        </row>
        <row r="104">
          <cell r="A104" t="str">
            <v>Tape Drives</v>
          </cell>
        </row>
        <row r="105">
          <cell r="A105" t="str">
            <v>294243-B21</v>
          </cell>
          <cell r="B105" t="str">
            <v>TR5 Tape Drive Kit</v>
          </cell>
          <cell r="C105">
            <v>420</v>
          </cell>
        </row>
        <row r="106">
          <cell r="A106" t="str">
            <v>186703-B25</v>
          </cell>
          <cell r="B106" t="str">
            <v>TR4 Tape Drive -Opal</v>
          </cell>
          <cell r="C106">
            <v>319.95599999999996</v>
          </cell>
        </row>
        <row r="107">
          <cell r="A107" t="str">
            <v>Monitors</v>
          </cell>
        </row>
        <row r="108">
          <cell r="A108" t="str">
            <v>308006-001</v>
          </cell>
          <cell r="B108" t="str">
            <v>V55 15" Color Monitor</v>
          </cell>
          <cell r="C108">
            <v>250</v>
          </cell>
        </row>
        <row r="109">
          <cell r="A109" t="str">
            <v>307710-B24</v>
          </cell>
          <cell r="B109" t="str">
            <v>V75 17"Color Monitor</v>
          </cell>
          <cell r="C109">
            <v>505</v>
          </cell>
        </row>
        <row r="111">
          <cell r="A111" t="str">
            <v>Part Number</v>
          </cell>
          <cell r="B111" t="str">
            <v>Description</v>
          </cell>
          <cell r="C111" t="str">
            <v>K1</v>
          </cell>
        </row>
        <row r="112">
          <cell r="A112" t="str">
            <v>339360-371</v>
          </cell>
          <cell r="B112" t="str">
            <v>ProLiant 400 6/400 512K</v>
          </cell>
          <cell r="C112">
            <v>2776</v>
          </cell>
        </row>
        <row r="113">
          <cell r="A113" t="str">
            <v>339360-372</v>
          </cell>
          <cell r="B113" t="str">
            <v>ProLiant 400 6/400 512K 4.3G</v>
          </cell>
          <cell r="C113">
            <v>3180</v>
          </cell>
        </row>
        <row r="114">
          <cell r="A114" t="str">
            <v>401145-371</v>
          </cell>
          <cell r="B114" t="str">
            <v>ProLiant 5500 XEON 6/450 512K</v>
          </cell>
          <cell r="C114">
            <v>14857</v>
          </cell>
        </row>
        <row r="115">
          <cell r="A115" t="str">
            <v>401146-371</v>
          </cell>
          <cell r="B115" t="str">
            <v>ProLiant 5500 XEON 6/450R 512K</v>
          </cell>
          <cell r="C115">
            <v>15627</v>
          </cell>
        </row>
        <row r="116">
          <cell r="A116" t="str">
            <v>401147-371</v>
          </cell>
          <cell r="B116" t="str">
            <v>ProLiant 5500 XEON 6/450 1M</v>
          </cell>
          <cell r="C116">
            <v>21364</v>
          </cell>
        </row>
        <row r="117">
          <cell r="A117" t="str">
            <v>401148-371</v>
          </cell>
          <cell r="B117" t="str">
            <v>ProLiant 5500 XEON 6/450R 1M</v>
          </cell>
          <cell r="C117">
            <v>21897</v>
          </cell>
        </row>
        <row r="118">
          <cell r="A118" t="str">
            <v>386668-371</v>
          </cell>
          <cell r="B118" t="str">
            <v>ProLiant 6000 XEON 6/450 512K</v>
          </cell>
          <cell r="C118">
            <v>16996</v>
          </cell>
        </row>
        <row r="119">
          <cell r="A119" t="str">
            <v>386669-371</v>
          </cell>
          <cell r="B119" t="str">
            <v>ProLiant 6000 XEON 6/450 2P 1M</v>
          </cell>
          <cell r="C119">
            <v>31202</v>
          </cell>
        </row>
        <row r="120">
          <cell r="A120" t="str">
            <v>179625-371</v>
          </cell>
          <cell r="B120" t="str">
            <v>ProLiant 6500 XEON 6/450R 512K</v>
          </cell>
          <cell r="C120">
            <v>19510</v>
          </cell>
        </row>
        <row r="121">
          <cell r="A121" t="str">
            <v>179640-371</v>
          </cell>
          <cell r="B121" t="str">
            <v>ProLiant 6500 XEON 6/450R 2P 1M</v>
          </cell>
          <cell r="C121">
            <v>30095</v>
          </cell>
        </row>
        <row r="122">
          <cell r="A122" t="str">
            <v>179650-371</v>
          </cell>
          <cell r="B122" t="str">
            <v>ProLiant 6500 XEON 6/450R 2P 2M</v>
          </cell>
          <cell r="C122">
            <v>43235</v>
          </cell>
        </row>
        <row r="123">
          <cell r="A123" t="str">
            <v>386670-371</v>
          </cell>
          <cell r="B123" t="str">
            <v>ProLiant 7000 XEON 6/450R 1M</v>
          </cell>
          <cell r="C123">
            <v>28560</v>
          </cell>
        </row>
        <row r="124">
          <cell r="A124" t="str">
            <v>386671-371</v>
          </cell>
          <cell r="B124" t="str">
            <v>ProLiant 7000 XEON 6/450R 2P 2M</v>
          </cell>
          <cell r="C124">
            <v>49456</v>
          </cell>
        </row>
        <row r="126">
          <cell r="A126" t="str">
            <v>332609-B31</v>
          </cell>
          <cell r="B126" t="str">
            <v>Proliant SCSI Storage Expander II</v>
          </cell>
          <cell r="C126">
            <v>1098</v>
          </cell>
        </row>
        <row r="127">
          <cell r="A127" t="str">
            <v>332607-B31</v>
          </cell>
          <cell r="B127" t="str">
            <v>Proliant SCSI Storage Expander II Rack</v>
          </cell>
          <cell r="C127">
            <v>2039</v>
          </cell>
        </row>
        <row r="128">
          <cell r="A128" t="str">
            <v>348757-B21</v>
          </cell>
          <cell r="B128" t="str">
            <v>Dual Channel Ultra-2 SCSI Controller</v>
          </cell>
          <cell r="C128">
            <v>618</v>
          </cell>
        </row>
        <row r="129">
          <cell r="A129" t="str">
            <v>350365-B31</v>
          </cell>
          <cell r="B129" t="str">
            <v>35/70 GB DLT Library Model 1</v>
          </cell>
          <cell r="C129">
            <v>19900</v>
          </cell>
        </row>
        <row r="130">
          <cell r="A130" t="str">
            <v>350365-B32</v>
          </cell>
          <cell r="B130" t="str">
            <v>35/70 GB DLT Library Model 2</v>
          </cell>
          <cell r="C130">
            <v>30700</v>
          </cell>
        </row>
        <row r="131">
          <cell r="A131" t="str">
            <v>350367-B21</v>
          </cell>
          <cell r="B131" t="str">
            <v>35/70 GB DLT Library Ready Drive</v>
          </cell>
          <cell r="C131">
            <v>10800</v>
          </cell>
        </row>
        <row r="132">
          <cell r="A132" t="str">
            <v>223187-B21</v>
          </cell>
          <cell r="B132" t="str">
            <v>Panther Fibre Channel Array Controller</v>
          </cell>
          <cell r="C132">
            <v>3650</v>
          </cell>
        </row>
        <row r="133">
          <cell r="A133" t="str">
            <v>328812-B21</v>
          </cell>
          <cell r="B133" t="str">
            <v>Xeon 6/450 512 K Processor Kit</v>
          </cell>
          <cell r="C133">
            <v>2600</v>
          </cell>
        </row>
        <row r="134">
          <cell r="A134" t="str">
            <v>328813-B21</v>
          </cell>
          <cell r="B134" t="str">
            <v>Xeon 6/450 1MB Processor Kit</v>
          </cell>
          <cell r="C134">
            <v>5200</v>
          </cell>
        </row>
        <row r="135">
          <cell r="A135" t="str">
            <v>328814-B21</v>
          </cell>
          <cell r="B135" t="str">
            <v>Xeon 6/450 2MB Processor Kit</v>
          </cell>
          <cell r="C135">
            <v>16870</v>
          </cell>
        </row>
        <row r="136">
          <cell r="A136" t="str">
            <v>328254-B21</v>
          </cell>
          <cell r="B136" t="str">
            <v>Xeon/450 512K Slot 2 Processor</v>
          </cell>
          <cell r="C136">
            <v>2600</v>
          </cell>
        </row>
        <row r="137">
          <cell r="A137" t="str">
            <v>328255-B21</v>
          </cell>
          <cell r="B137" t="str">
            <v>Xeon/450 1M Slot 2 Processor</v>
          </cell>
          <cell r="C137">
            <v>5200</v>
          </cell>
        </row>
        <row r="138">
          <cell r="A138" t="str">
            <v>328256-B21</v>
          </cell>
          <cell r="B138" t="str">
            <v>Xeon/450 2M Slot 2 Processor</v>
          </cell>
          <cell r="C138">
            <v>16870</v>
          </cell>
        </row>
        <row r="139">
          <cell r="A139" t="str">
            <v>328718-B21</v>
          </cell>
          <cell r="B139" t="str">
            <v>Xeon/400 1M Slot 2</v>
          </cell>
          <cell r="C139">
            <v>5200</v>
          </cell>
        </row>
        <row r="140">
          <cell r="A140" t="str">
            <v>328976-B21</v>
          </cell>
          <cell r="B140" t="str">
            <v>Xeon/450 512K Slot 2</v>
          </cell>
          <cell r="C140">
            <v>2600</v>
          </cell>
        </row>
        <row r="141">
          <cell r="A141" t="str">
            <v>328977-B21</v>
          </cell>
          <cell r="B141" t="str">
            <v>Xeon/450 1M Slot 2</v>
          </cell>
          <cell r="C141">
            <v>5200</v>
          </cell>
        </row>
        <row r="142">
          <cell r="A142" t="str">
            <v>328978-B21</v>
          </cell>
          <cell r="B142" t="str">
            <v>Xeon/450 2M Slot 2</v>
          </cell>
          <cell r="C142">
            <v>16870</v>
          </cell>
        </row>
        <row r="143">
          <cell r="A143" t="str">
            <v>338707-B21</v>
          </cell>
          <cell r="B143" t="str">
            <v>Richmond Upgrade Kit (PL 6500 Ppro to Xeon)</v>
          </cell>
          <cell r="C143">
            <v>8667</v>
          </cell>
        </row>
        <row r="144">
          <cell r="A144" t="str">
            <v>179766-B21</v>
          </cell>
          <cell r="B144" t="str">
            <v>PL3000 upgrade to 100Mhz FSB</v>
          </cell>
          <cell r="C144">
            <v>1237</v>
          </cell>
        </row>
        <row r="145">
          <cell r="A145" t="str">
            <v>401703-B21</v>
          </cell>
          <cell r="B145" t="str">
            <v>64 MB Unbuffered Registered SDRAM DIMM Kit (1 x 64)</v>
          </cell>
          <cell r="C145">
            <v>396</v>
          </cell>
        </row>
        <row r="146">
          <cell r="A146" t="str">
            <v>401704-B21</v>
          </cell>
          <cell r="B146" t="str">
            <v>128 MB Unbuffered Registered SDRAM DIMM Kit (1 x 128)</v>
          </cell>
          <cell r="C146">
            <v>792</v>
          </cell>
        </row>
        <row r="147">
          <cell r="A147" t="str">
            <v>328948-B21</v>
          </cell>
          <cell r="B147" t="str">
            <v>PL 6500 Xeon Rack to Tower Conversion Kit</v>
          </cell>
          <cell r="C147">
            <v>448</v>
          </cell>
        </row>
        <row r="148">
          <cell r="A148" t="str">
            <v>387798-B21</v>
          </cell>
          <cell r="B148" t="str">
            <v>PLT 800/1200/1600/2500 Tower to Rack conversion kit</v>
          </cell>
          <cell r="C148">
            <v>448</v>
          </cell>
        </row>
        <row r="149">
          <cell r="A149" t="str">
            <v>382120-B21</v>
          </cell>
          <cell r="B149" t="str">
            <v>Oracle Parallel Database Cluster Kit - E/NET</v>
          </cell>
          <cell r="C149">
            <v>4307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FTE"/>
      <sheetName val="인건비 분류(ERP)"/>
      <sheetName val="Sheet1"/>
      <sheetName val="Sheet2"/>
      <sheetName val="전체"/>
      <sheetName val="DCO"/>
      <sheetName val="SE"/>
      <sheetName val="DM"/>
      <sheetName val="IDC"/>
      <sheetName val="NW운영"/>
      <sheetName val="NW기술"/>
      <sheetName val="분산"/>
      <sheetName val="ISS"/>
      <sheetName val="IP"/>
      <sheetName val="COMPAQ-LIST"/>
      <sheetName val="자재코드"/>
      <sheetName val="파워콤DCF"/>
      <sheetName val="Common"/>
      <sheetName val="충남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준SPEC"/>
      <sheetName val="모델별 표준SPEC(UX-HP)"/>
      <sheetName val="적용Case"/>
      <sheetName val="종합"/>
      <sheetName val="종합(Body Only)"/>
      <sheetName val="종합(Body산정과정) HP UX"/>
      <sheetName val="HP단가"/>
      <sheetName val="NW-장비"/>
      <sheetName val="FTE"/>
      <sheetName val="PassPort-60%"/>
      <sheetName val="파워콤DCF"/>
      <sheetName val="COMPAQ-LIST"/>
      <sheetName val="Common"/>
      <sheetName val="종합(Body산정과정)_HP_UX"/>
      <sheetName val="DS-장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준SPEC"/>
      <sheetName val="모델별 표준SPEC(UX-HP)"/>
      <sheetName val="적용Case"/>
      <sheetName val="종합"/>
      <sheetName val="종합(Body Only)"/>
      <sheetName val="종합(Body산정과정) HP UX"/>
      <sheetName val="HP단가"/>
      <sheetName val="FTE"/>
      <sheetName val="파워콤DCF"/>
      <sheetName val="COMPAQ-LIST"/>
      <sheetName val=""/>
      <sheetName val="모델별_표준SPEC(UX-HP)"/>
      <sheetName val="종합(Body_Only)"/>
      <sheetName val="종합(Body산정과정)_HP_UX"/>
      <sheetName val="Unix-price"/>
    </sheetNames>
    <sheetDataSet>
      <sheetData sheetId="0"/>
      <sheetData sheetId="1"/>
      <sheetData sheetId="2"/>
      <sheetData sheetId="3"/>
      <sheetData sheetId="4"/>
      <sheetData sheetId="5">
        <row r="29">
          <cell r="G29">
            <v>0.5</v>
          </cell>
        </row>
        <row r="30">
          <cell r="G30">
            <v>0.5</v>
          </cell>
        </row>
        <row r="31">
          <cell r="G31">
            <v>0.5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>
        <row r="29">
          <cell r="G29">
            <v>0.5</v>
          </cell>
        </row>
      </sheetData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DS"/>
      <sheetName val="NW"/>
      <sheetName val="PC"/>
      <sheetName val="Port"/>
      <sheetName val="공사비(프로젝트성)"/>
      <sheetName val="전원설비"/>
      <sheetName val="UPS(종합)"/>
      <sheetName val="UPS(공사)"/>
      <sheetName val="UPS(내역)"/>
      <sheetName val="UPS(설치)"/>
      <sheetName val="OA교육비"/>
      <sheetName val="DSSR_설치내역1"/>
      <sheetName val="inputarea_ref"/>
      <sheetName val="Sheet1"/>
      <sheetName val="이름표"/>
      <sheetName val="DB"/>
      <sheetName val="종합(Body산정과정) HP UX"/>
      <sheetName val="목차"/>
      <sheetName val="조서목차"/>
      <sheetName val="Macro(전선)"/>
      <sheetName val="FTE"/>
      <sheetName val="Page 1A - Proposal Strategy "/>
      <sheetName val="DS_2Q"/>
      <sheetName val="중간재 재공"/>
      <sheetName val="종합(Body산정과정)_HP_UX"/>
      <sheetName val="Page_1A_-_Proposal_Strategy_"/>
      <sheetName val="중간재_재공"/>
      <sheetName val="예적금"/>
      <sheetName val="서버별 백업"/>
      <sheetName val="index"/>
      <sheetName val="추이"/>
      <sheetName val="음료실행"/>
      <sheetName val="운영 비용(Infra)-원가"/>
    </sheetNames>
    <sheetDataSet>
      <sheetData sheetId="0" refreshError="1">
        <row r="8">
          <cell r="I8">
            <v>0.54239999999999999</v>
          </cell>
        </row>
        <row r="10">
          <cell r="I10">
            <v>0.46450000000000002</v>
          </cell>
        </row>
        <row r="11">
          <cell r="I11">
            <v>0.50374999999999992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견적서"/>
      <sheetName val="AWS Resource 내역(Share Account)"/>
      <sheetName val="AWS Resource 내역(Mintit Account)"/>
      <sheetName val="ZCP 견적 요약"/>
      <sheetName val="Control Plane Cluster"/>
      <sheetName val="Data Plane Clusters"/>
      <sheetName val="ZCP on EKS 내역"/>
      <sheetName val="ZCP ZDB LIST Price"/>
      <sheetName val="기준데이터"/>
      <sheetName val="서비스별 사양"/>
      <sheetName val="ZCP ZDB LIST Price (예시용)"/>
    </sheetNames>
    <sheetDataSet>
      <sheetData sheetId="0"/>
      <sheetData sheetId="1">
        <row r="3">
          <cell r="C3">
            <v>1200</v>
          </cell>
        </row>
        <row r="4">
          <cell r="C4">
            <v>732</v>
          </cell>
        </row>
        <row r="7">
          <cell r="P7" t="str">
            <v>No Upfront</v>
          </cell>
          <cell r="S7" t="str">
            <v>No Upfront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 t="str">
            <v>Linux/NA/NA</v>
          </cell>
        </row>
        <row r="5">
          <cell r="C5" t="str">
            <v>Linux/NA/No License required</v>
          </cell>
        </row>
        <row r="6">
          <cell r="C6" t="str">
            <v>Linux/SQL Ent/No License required</v>
          </cell>
        </row>
        <row r="7">
          <cell r="C7" t="str">
            <v>Linux/SQL Std/No License required</v>
          </cell>
        </row>
        <row r="8">
          <cell r="C8" t="str">
            <v>Linux/SQL Web/No License required</v>
          </cell>
        </row>
        <row r="9">
          <cell r="C9" t="str">
            <v>NA/NA/NA</v>
          </cell>
        </row>
        <row r="10">
          <cell r="C10" t="str">
            <v>RHEL/NA/No License required</v>
          </cell>
        </row>
        <row r="11">
          <cell r="C11" t="str">
            <v>SUSE/NA/No License required</v>
          </cell>
        </row>
        <row r="12">
          <cell r="C12" t="str">
            <v>Windows/NA/Bring your own license</v>
          </cell>
        </row>
        <row r="13">
          <cell r="C13" t="str">
            <v>Windows/NA/NA</v>
          </cell>
        </row>
        <row r="14">
          <cell r="C14" t="str">
            <v>Windows/NA/No License required</v>
          </cell>
        </row>
        <row r="15">
          <cell r="C15" t="str">
            <v>Windows/SQL Ent/No License required</v>
          </cell>
        </row>
        <row r="16">
          <cell r="C16" t="str">
            <v>Windows/SQL Std/No License required</v>
          </cell>
        </row>
        <row r="17">
          <cell r="C17" t="str">
            <v>Windows/SQL Web/No License required</v>
          </cell>
        </row>
      </sheetData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 Price"/>
      <sheetName val="INPUTAREA"/>
      <sheetName val="Asset"/>
      <sheetName val="basecasecal"/>
      <sheetName val="DC-lease"/>
      <sheetName val="98 Budget"/>
      <sheetName val="deposit"/>
      <sheetName val="tpibase"/>
      <sheetName val="tpibase_adm"/>
      <sheetName val="tpibase_dc"/>
      <sheetName val="tpibase_dt"/>
      <sheetName val="tpibase_nw"/>
      <sheetName val="tpibase_pl"/>
      <sheetName val="SCOPEDB"/>
      <sheetName val="2004년 Refresh예상금액"/>
      <sheetName val="95년장비"/>
      <sheetName val="96년장비"/>
      <sheetName val="97년장비"/>
      <sheetName val="98년장비"/>
      <sheetName val="99년장비"/>
      <sheetName val="00년장비"/>
      <sheetName val="Tef"/>
      <sheetName val="유니트입출고내역"/>
      <sheetName val="견적서 N"/>
      <sheetName val="(C&amp;C 보고용)SK Corp"/>
      <sheetName val="가격"/>
      <sheetName val="DS_2Q"/>
      <sheetName val="1월22일기준인원"/>
      <sheetName val="Sim_Price"/>
      <sheetName val="98_Budget"/>
      <sheetName val="2004년_Refresh예상금액"/>
      <sheetName val="견적서_N"/>
      <sheetName val="(C&amp;C_보고용)SK_Corp"/>
      <sheetName val="Sim_Price1"/>
      <sheetName val="98_Budget1"/>
      <sheetName val="2004년_Refresh예상금액1"/>
      <sheetName val="견적서_N1"/>
      <sheetName val="Carepaq"/>
      <sheetName val="OPT"/>
      <sheetName val="SV"/>
      <sheetName val="Best1"/>
      <sheetName val="Net-Backup"/>
      <sheetName val="SL Master(SKC정보소재사업부문)"/>
      <sheetName val="SL Master(케미칼)"/>
      <sheetName val="SL Master(SK Corp)"/>
      <sheetName val="SL Master(건설)"/>
      <sheetName val="SL Master(SKC화학사업부문)"/>
      <sheetName val="SL Master(해운)"/>
      <sheetName val="SL Master(SKT)"/>
      <sheetName val="Tivoli"/>
      <sheetName val="SL Master(워커힐)"/>
      <sheetName val="총괄표"/>
    </sheetNames>
    <sheetDataSet>
      <sheetData sheetId="0"/>
      <sheetData sheetId="1" refreshError="1">
        <row r="20">
          <cell r="C20">
            <v>0.13</v>
          </cell>
        </row>
        <row r="27">
          <cell r="C2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첨부1. AM"/>
      <sheetName val="첨부2. HW,SW사용료"/>
      <sheetName val="첨부3, MA비,인건비"/>
      <sheetName val="첨부4. 자산현황_HW"/>
      <sheetName val="첨부5. 자산현황_DB"/>
      <sheetName val="첨부6. 자산현황_SW"/>
      <sheetName val="운영 비용(Infra)-원가"/>
      <sheetName val="Sheet1"/>
      <sheetName val="ERL_TBL"/>
      <sheetName val="총괄표"/>
      <sheetName val="Macro(전선)"/>
      <sheetName val="종합(Body산정과정) HP UX"/>
      <sheetName val="첨부1__AM"/>
      <sheetName val="첨부2__HW,SW사용료"/>
      <sheetName val="첨부3,_MA비,인건비"/>
      <sheetName val="첨부4__자산현황_HW"/>
      <sheetName val="첨부5__자산현황_DB"/>
      <sheetName val="첨부6__자산현황_SW"/>
      <sheetName val="운영_비용(Infra)-원가"/>
      <sheetName val="종합(Body산정과정)_HP_UX"/>
      <sheetName val="서버별 백업"/>
      <sheetName val="INPUTAREA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"/>
      <sheetName val="Unix-초안"/>
      <sheetName val="Unix-price"/>
      <sheetName val="unix-단가표"/>
      <sheetName val="unix-factor"/>
      <sheetName val="첨부2. HW,SW사용료"/>
      <sheetName val="System x SVR"/>
      <sheetName val="SS"/>
      <sheetName val="명세서"/>
      <sheetName val="장비분"/>
      <sheetName val="운영 비용(Infra)-원가"/>
      <sheetName val="ERL_TBL"/>
      <sheetName val="유효성 검사용 Sheet (삭제금지)"/>
      <sheetName val="첨부2__HW,SW사용료"/>
      <sheetName val="총괄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er Service Class분류기준"/>
      <sheetName val="정리, Unix-전체"/>
      <sheetName val="Unix-MHz 단가 총괄"/>
      <sheetName val="Unix-Memory 단가 총괄"/>
      <sheetName val="Unix-DISK 단가 총괄"/>
      <sheetName val="Unix-기타"/>
      <sheetName val="Unix-전체-MHz, Memory, Disk 전체 분리"/>
      <sheetName val="Net-Backup"/>
      <sheetName val="Best1"/>
      <sheetName val="Tivoli"/>
      <sheetName val="SL Master(SKC화학사업부문)"/>
      <sheetName val="SL Master(SKC정보소재사업부문)"/>
      <sheetName val="SL Master(해운)"/>
      <sheetName val="SL Master(SKT)"/>
      <sheetName val="SL Master(케미칼)"/>
      <sheetName val="SL Master(건설)"/>
      <sheetName val="SL Master(SK Corp)"/>
      <sheetName val="SL Master(워커힐)"/>
      <sheetName val="unix-factor"/>
      <sheetName val="첨부2. HW,SW사용료"/>
      <sheetName val="명세서"/>
      <sheetName val="장비분"/>
      <sheetName val="운영 비용(Infra)-원가"/>
      <sheetName val="SS"/>
      <sheetName val="Server_Service_Class분류기준"/>
      <sheetName val="정리,_Unix-전체"/>
      <sheetName val="Unix-MHz_단가_총괄"/>
      <sheetName val="Unix-Memory_단가_총괄"/>
      <sheetName val="Unix-DISK_단가_총괄"/>
      <sheetName val="Unix-전체-MHz,_Memory,_Disk_전체_분리"/>
      <sheetName val="SL_Master(SKC화학사업부문)"/>
      <sheetName val="SL_Master(SKC정보소재사업부문)"/>
      <sheetName val="SL_Master(해운)"/>
      <sheetName val="SL_Master(SKT)"/>
      <sheetName val="SL_Master(케미칼)"/>
      <sheetName val="SL_Master(건설)"/>
      <sheetName val="SL_Master(SK_Corp)"/>
      <sheetName val="SL_Master(워커힐)"/>
      <sheetName val="첨부2__HW,SW사용료"/>
      <sheetName val="운영_비용(Infra)-원가"/>
      <sheetName val="COMPAQ-LIST"/>
      <sheetName val="총괄표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종합"/>
      <sheetName val="분류 "/>
      <sheetName val="2002프로젝트별"/>
      <sheetName val="02_DS_3Q"/>
      <sheetName val="02_DS_2Q"/>
      <sheetName val="02_DS_1Q"/>
      <sheetName val="2001프로젝트별"/>
      <sheetName val="DS_2001"/>
      <sheetName val="2000프로젝트별"/>
      <sheetName val="DS_2000"/>
      <sheetName val="1999프로젝트별"/>
      <sheetName val="DS_1999"/>
      <sheetName val="DBM자산"/>
      <sheetName val="Pass-thru"/>
      <sheetName val="감소사용량"/>
      <sheetName val="Unix-Memory 단가 총괄"/>
      <sheetName val="Unix-MHz 단가 총괄"/>
      <sheetName val="DS-최종"/>
      <sheetName val="unix-factor"/>
      <sheetName val="첨부2. HW,SW사용료"/>
      <sheetName val="명세서"/>
      <sheetName val="장비분"/>
      <sheetName val="분류_"/>
      <sheetName val="Unix-Memory_단가_총괄"/>
      <sheetName val="Unix-MHz_단가_총괄"/>
      <sheetName val="첨부2__HW,SW사용료"/>
      <sheetName val="NW-장비"/>
      <sheetName val="DS-장비"/>
      <sheetName val="calc v1.2"/>
      <sheetName val="calc v1.2 (2)"/>
      <sheetName val="COMPAQ-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(총괄)"/>
      <sheetName val="요금(세부)"/>
      <sheetName val="DC(종합)"/>
      <sheetName val="단가합의(요약)"/>
      <sheetName val="감소사용량"/>
      <sheetName val="DS-장비"/>
      <sheetName val="NW-장비"/>
      <sheetName val="NW-대리점"/>
      <sheetName val="99년대리점"/>
      <sheetName val="Port"/>
      <sheetName val="NW-공사"/>
      <sheetName val="NW-PJT공사"/>
      <sheetName val="99년 LAN Port집계"/>
      <sheetName val="UPS사용료"/>
      <sheetName val="UPS"/>
      <sheetName val="PC-단가"/>
      <sheetName val="UPS(종합)"/>
      <sheetName val="UPS(공사)"/>
      <sheetName val="UPS(내역)"/>
      <sheetName val="UPS(설치)"/>
      <sheetName val="PC-운영대수"/>
      <sheetName val="OA교육비"/>
      <sheetName val="99년 ITC-PABX"/>
      <sheetName val="고객센타('98)"/>
      <sheetName val="고객센타('99)"/>
      <sheetName val="영상회의유지보수"/>
      <sheetName val="ADM총괄"/>
      <sheetName val="Service Space"/>
      <sheetName val="분류 "/>
      <sheetName val="Unix-Memory 단가 총괄"/>
      <sheetName val="Unix-MHz 단가 총괄"/>
      <sheetName val="unix-factor"/>
      <sheetName val="첨부2. HW,SW사용료"/>
      <sheetName val="명세서"/>
      <sheetName val="99년_LAN_Port집계"/>
      <sheetName val="99년_ITC-PABX"/>
      <sheetName val="Service_Space"/>
      <sheetName val="분류_"/>
      <sheetName val="Unix-Memory_단가_총괄"/>
      <sheetName val="Unix-MHz_단가_총괄"/>
      <sheetName val="첨부2__HW,SW사용료"/>
      <sheetName val="관리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자료"/>
      <sheetName val="BL"/>
      <sheetName val="DC종합"/>
      <sheetName val="DC단가"/>
      <sheetName val="S390MIPS"/>
      <sheetName val="S390GB"/>
      <sheetName val="S390GB 세부내역"/>
      <sheetName val="Mount"/>
      <sheetName val="Kfoot"/>
      <sheetName val="Session"/>
      <sheetName val="DS종합"/>
      <sheetName val="DS_Unix"/>
      <sheetName val="DS_TD"/>
      <sheetName val="DS_NT"/>
      <sheetName val="DS_99"/>
      <sheetName val="DBM추가분"/>
      <sheetName val="DS_1Q"/>
      <sheetName val="DS_2Q"/>
      <sheetName val="DS_3Q"/>
      <sheetName val="DS_4Q"/>
      <sheetName val="NW종합"/>
      <sheetName val="단일노드"/>
      <sheetName val="복합노드"/>
      <sheetName val="NW_1Q"/>
      <sheetName val="NW_2Q"/>
      <sheetName val="NW_3Q"/>
      <sheetName val="NW_4Q"/>
      <sheetName val="대리점 저속_고속"/>
      <sheetName val="전원설비"/>
      <sheetName val="99년 사용료 계산"/>
      <sheetName val="공사"/>
      <sheetName val="LAN Port단가"/>
      <sheetName val="PC종합"/>
      <sheetName val="DT,NB,PRTR"/>
      <sheetName val="PC,PABX"/>
      <sheetName val="PC_Dpst(新)"/>
      <sheetName val="PC_Dpst(舊)"/>
      <sheetName val="HD종합"/>
      <sheetName val="OA교육"/>
      <sheetName val="AD"/>
      <sheetName val="프로젝트인력투입"/>
      <sheetName val="선금,중도금별계약"/>
      <sheetName val="AM"/>
      <sheetName val="AD 99 이월"/>
      <sheetName val="AD총괄표(추가AM포함)"/>
      <sheetName val="DS-장비"/>
      <sheetName val="NW-장비"/>
      <sheetName val="분류 "/>
      <sheetName val="Unix-Memory 단가 총괄"/>
      <sheetName val="Unix-MHz 단가 총괄"/>
      <sheetName val="unix-factor"/>
      <sheetName val="첨부2. HW,SW사용료"/>
      <sheetName val="S390GB_세부내역"/>
      <sheetName val="대리점_저속_고속"/>
      <sheetName val="99년_사용료_계산"/>
      <sheetName val="LAN_Port단가"/>
      <sheetName val="AD_99_이월"/>
      <sheetName val="분류_"/>
      <sheetName val="Unix-Memory_단가_총괄"/>
      <sheetName val="Unix-MHz_단가_총괄"/>
      <sheetName val="첨부2__HW,SW사용료"/>
      <sheetName val="f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3501"/>
      <sheetName val="9월가격"/>
      <sheetName val="DS_3Q"/>
      <sheetName val="DS-장비"/>
      <sheetName val="NW-장비"/>
      <sheetName val="분류 "/>
      <sheetName val="Unix-Memory 단가 총괄"/>
      <sheetName val="Unix-MHz 단가 총괄"/>
      <sheetName val="unix-factor"/>
      <sheetName val="분류_"/>
      <sheetName val="Unix-Memory_단가_총괄"/>
      <sheetName val="Unix-MHz_단가_총괄"/>
    </sheetNames>
    <sheetDataSet>
      <sheetData sheetId="0"/>
      <sheetData sheetId="1">
        <row r="1">
          <cell r="A1" t="str">
            <v>1018A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ssion"/>
      <sheetName val="DASD"/>
      <sheetName val="S390 SW(SKT)"/>
      <sheetName val="PABX"/>
      <sheetName val="NW_weight"/>
      <sheetName val="부록C-2"/>
      <sheetName val="합의서 별첨 (1년)"/>
      <sheetName val="합의서 별첨 (11년)"/>
      <sheetName val="99년 서비스료 산정근거"/>
      <sheetName val="99년 IT 투자비용"/>
      <sheetName val="99년 사용량(1~6월)"/>
      <sheetName val="Baseline_98"/>
      <sheetName val="유지보수현황"/>
      <sheetName val="요율산정"/>
      <sheetName val="Labor Amount"/>
      <sheetName val="Labor Amount(Details)"/>
      <sheetName val="Oper Amount"/>
      <sheetName val="Oper Amount(Details)"/>
      <sheetName val="Acq Amount"/>
      <sheetName val="Mount"/>
      <sheetName val="Acq Amount(Details)"/>
      <sheetName val="Weight"/>
      <sheetName val="세무감사결과자료"/>
      <sheetName val="Ctrl_Panel"/>
      <sheetName val="운영인건비WEIGHT"/>
      <sheetName val="MA"/>
      <sheetName val="Inventory Sum"/>
      <sheetName val="dsum_cond"/>
      <sheetName val="Projection_All"/>
      <sheetName val="Service Space"/>
      <sheetName val="HW_Projection"/>
      <sheetName val="NW_Projection"/>
      <sheetName val="Labor_Projection"/>
      <sheetName val="Item별 현보유량 list"/>
      <sheetName val="통제부(통합)"/>
      <sheetName val="가중치작업"/>
      <sheetName val="Datacenter가중치_backdata"/>
      <sheetName val="서버가중치_backdata"/>
      <sheetName val="PC가중치_backdata"/>
      <sheetName val="Network가중치_backdata"/>
      <sheetName val="95년장비"/>
      <sheetName val="가격"/>
      <sheetName val="INDEX"/>
      <sheetName val="DS_3Q"/>
      <sheetName val="9월가격"/>
      <sheetName val="2000년"/>
      <sheetName val="2001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전사후"/>
      <sheetName val="9월가격"/>
      <sheetName val="DS_3Q"/>
      <sheetName val="sheet1"/>
      <sheetName val="Oper Amount"/>
      <sheetName val="95년장비"/>
      <sheetName val="Oper_Amount"/>
      <sheetName val="분류 "/>
      <sheetName val="종합(Body산정과정) HP U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  <sheetName val="DATA"/>
      <sheetName val="데이타"/>
      <sheetName val="관리2"/>
      <sheetName val="총괄표"/>
      <sheetName val="2월"/>
      <sheetName val="2월가격"/>
      <sheetName val="우각부보강"/>
      <sheetName val="NEW증설1(재작업)"/>
      <sheetName val="Sheet1"/>
      <sheetName val="소상 &quot;1&quot;"/>
      <sheetName val="노무비"/>
      <sheetName val="6월"/>
      <sheetName val="Yearly(Tower)"/>
      <sheetName val="2월가격표"/>
      <sheetName val="11월가격"/>
      <sheetName val="가격"/>
      <sheetName val="9월가격"/>
      <sheetName val="List"/>
      <sheetName val="Oper Amount"/>
      <sheetName val="자재단가"/>
      <sheetName val="DB"/>
      <sheetName val="9GNG운반"/>
      <sheetName val="노임이"/>
      <sheetName val="현장관리비"/>
      <sheetName val="협조전"/>
      <sheetName val="내역서"/>
      <sheetName val="9509"/>
      <sheetName val="(실사조정)총괄"/>
      <sheetName val="직재"/>
      <sheetName val="재집"/>
      <sheetName val="소상_&quot;1&quot;"/>
      <sheetName val="Oper_Amount"/>
      <sheetName val="DS-장비"/>
      <sheetName val="NW-장비"/>
    </sheetNames>
    <sheetDataSet>
      <sheetData sheetId="0">
        <row r="5">
          <cell r="B5">
            <v>1</v>
          </cell>
        </row>
      </sheetData>
      <sheetData sheetId="1"/>
      <sheetData sheetId="2" refreshError="1">
        <row r="5">
          <cell r="B5">
            <v>1</v>
          </cell>
          <cell r="D5" t="str">
            <v>가리봉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Service Class 분류 기준"/>
      <sheetName val="금액"/>
      <sheetName val="Factor"/>
      <sheetName val="초기구축"/>
      <sheetName val="변경관리"/>
      <sheetName val="구성관리"/>
      <sheetName val="자산관리"/>
      <sheetName val="Monitoring"/>
      <sheetName val="장애접수"/>
      <sheetName val="장애 처리"/>
      <sheetName val="정기점검"/>
      <sheetName val="Network BU"/>
      <sheetName val="SAN"/>
      <sheetName val="개별 백업"/>
      <sheetName val="DM"/>
      <sheetName val="Storage"/>
      <sheetName val="보안"/>
      <sheetName val="성능용량"/>
      <sheetName val="Service Class 조사(NT)"/>
      <sheetName val="등급"/>
      <sheetName val="Sheet2"/>
      <sheetName val="Sheet3"/>
      <sheetName val="9월가격"/>
      <sheetName val="원가보고"/>
      <sheetName val="NT Server"/>
      <sheetName val="단가표"/>
      <sheetName val="MOTOR"/>
      <sheetName val="DS_3Q"/>
      <sheetName val="IN"/>
      <sheetName val="Service_Class_분류_기준"/>
      <sheetName val="장애_처리"/>
      <sheetName val="Network_BU"/>
      <sheetName val="개별_백업"/>
      <sheetName val="Service_Class_조사(NT)"/>
      <sheetName val="NT_Server"/>
      <sheetName val="종합(body산정과정) hp ux"/>
      <sheetName val="총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자산관리번호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-usage(SK텔레콤)"/>
      <sheetName val="nt_dsum_cond"/>
      <sheetName val="NT운영단가표"/>
      <sheetName val="NT"/>
      <sheetName val="NT단가표"/>
      <sheetName val="UX단가표"/>
      <sheetName val="이름표"/>
      <sheetName val="등급"/>
      <sheetName val="Factor"/>
      <sheetName val="sheet1"/>
      <sheetName val="NT-service type model conversio"/>
      <sheetName val="단가표"/>
      <sheetName val="11월가격"/>
      <sheetName val="NT-service_type_model_conversio"/>
      <sheetName val="Oper Amount"/>
      <sheetName val="95년장비"/>
      <sheetName val="unix-factor"/>
      <sheetName val="INPUT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~2006 기존계약 기준사용량 산정근거."/>
      <sheetName val="2003~2006 신계약 기준 사용량 산정근거"/>
      <sheetName val="사용량(02.12-03.08)"/>
      <sheetName val="9672-RY5(P11-P14)종합"/>
      <sheetName val="2064-105(P15-P16)종합"/>
      <sheetName val="9672-RY5(P11-P14)상세"/>
      <sheetName val="9672-RY5(P11-P12)상세"/>
      <sheetName val="P11"/>
      <sheetName val="P12"/>
      <sheetName val="9672-RY5(P13-P14)상세"/>
      <sheetName val="P13"/>
      <sheetName val="P14"/>
      <sheetName val="2064-105(P15-P16)상세"/>
      <sheetName val="P15"/>
      <sheetName val="P16"/>
      <sheetName val="NT(DCS)"/>
      <sheetName val="NT(DS)"/>
      <sheetName val="UNIX(DCS)"/>
      <sheetName val="UNIX(DS)"/>
      <sheetName val="정산이름표"/>
      <sheetName val="index"/>
      <sheetName val="추이"/>
      <sheetName val="등급"/>
      <sheetName val="Factor"/>
      <sheetName val="sheet1"/>
      <sheetName val="20031027 SK(주) 기존계약 및 신계약 기준 MF"/>
      <sheetName val="2003~2006_기존계약_기준사용량_산정근거_"/>
      <sheetName val="2003~2006_신계약_기준_사용량_산정근거"/>
      <sheetName val="사용량(02_12-03_08)"/>
      <sheetName val="20031027_SK(주)_기존계약_및_신계약_기준_MF"/>
      <sheetName val="9월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단가"/>
      <sheetName val="Sheet2"/>
      <sheetName val="요약(수신자료)"/>
      <sheetName val="AD(수신자료)"/>
      <sheetName val="DS"/>
      <sheetName val="DS (2)(수신자료)"/>
      <sheetName val="NW(수신자료)"/>
      <sheetName val="ADM상세"/>
      <sheetName val="DS상세 (2)"/>
      <sheetName val="NW상세"/>
      <sheetName val="index"/>
      <sheetName val="2000년"/>
      <sheetName val="2001년"/>
      <sheetName val="NT(DCS)"/>
      <sheetName val="NT(DS)"/>
      <sheetName val="UNIX(DCS)"/>
      <sheetName val="UNIX(DS)"/>
      <sheetName val="INPUTAREA"/>
      <sheetName val="결합원기"/>
      <sheetName val="2C1"/>
      <sheetName val="1999"/>
      <sheetName val="2000"/>
      <sheetName val="2001"/>
      <sheetName val="2002"/>
      <sheetName val="등급"/>
      <sheetName val="Factor"/>
      <sheetName val="sheet1"/>
      <sheetName val="기준정보"/>
      <sheetName val="#REF"/>
      <sheetName val="CHITIET VL-NC"/>
      <sheetName val="DON GIA"/>
      <sheetName val="NT단가표"/>
      <sheetName val="UX단가표"/>
      <sheetName val="DS_(2)(수신자료)"/>
      <sheetName val="DS상세_(2)"/>
      <sheetName val="DS_(2)(수신자료)1"/>
      <sheetName val="DS상세_(2)1"/>
      <sheetName val="CHITIET_VL-NC"/>
      <sheetName val="DON_GIA"/>
      <sheetName val="DS_3Q"/>
      <sheetName val="0312"/>
      <sheetName val="공급설비"/>
      <sheetName val="수주단가"/>
      <sheetName val="인건비"/>
      <sheetName val="DB"/>
      <sheetName val="종합(body산정과정) hp ux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>
        <row r="17">
          <cell r="I17">
            <v>213752000</v>
          </cell>
        </row>
      </sheetData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예정_3_"/>
      <sheetName val="동원_3_"/>
      <sheetName val="ELEC"/>
      <sheetName val="DS상세 (2)"/>
      <sheetName val="Index"/>
      <sheetName val="Option"/>
      <sheetName val="MFAB"/>
      <sheetName val="MFRT"/>
      <sheetName val="MPKG"/>
      <sheetName val="MPRD"/>
      <sheetName val="Sheet16"/>
      <sheetName val="sheet1"/>
      <sheetName val="9GNG운반"/>
      <sheetName val="NSS"/>
      <sheetName val="Calc V1.2"/>
      <sheetName val="Calc V1.2 (2)"/>
      <sheetName val="SK-SUL"/>
      <sheetName val="7월가격"/>
      <sheetName val="IN"/>
      <sheetName val="UX MA Total"/>
      <sheetName val="Labor Amount"/>
      <sheetName val="인건-측정"/>
      <sheetName val="60명당사(총괄)"/>
      <sheetName val="소상 &quot;1&quot;"/>
      <sheetName val="노임"/>
      <sheetName val="데이터유효성검사자료"/>
      <sheetName val="list price"/>
      <sheetName val="2월가격"/>
      <sheetName val="원가보고"/>
      <sheetName val="투찰"/>
      <sheetName val="DATA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적 반영"/>
      <sheetName val="종합"/>
      <sheetName val="1999년"/>
      <sheetName val="2000년"/>
      <sheetName val="2001년"/>
      <sheetName val="2002년"/>
      <sheetName val="inputarea_ref"/>
      <sheetName val="DS상세 (2)"/>
      <sheetName val="NT(DCS)"/>
      <sheetName val="NT(DS)"/>
      <sheetName val="UNIX(DCS)"/>
      <sheetName val="UNIX(DS)"/>
      <sheetName val="OPT7"/>
      <sheetName val="SV7"/>
      <sheetName val="OPT"/>
      <sheetName val="Index"/>
      <sheetName val="Hidden"/>
      <sheetName val="등급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년 Refresh예상금액"/>
      <sheetName val="95년장비"/>
      <sheetName val="96년장비"/>
      <sheetName val="97년장비"/>
      <sheetName val="98년장비"/>
      <sheetName val="99년장비"/>
      <sheetName val="00년장비"/>
      <sheetName val="01년장비"/>
      <sheetName val="02년장비"/>
      <sheetName val="03년 장비"/>
      <sheetName val="Tef"/>
      <sheetName val="2000년"/>
      <sheetName val="2001년"/>
      <sheetName val="2004년 SK(주) Refesh List_2004042"/>
      <sheetName val="index"/>
      <sheetName val="Uplift"/>
      <sheetName val="설계명세서(선로)"/>
      <sheetName val="inputarea_ref"/>
      <sheetName val="단가표"/>
      <sheetName val="Price"/>
      <sheetName val="2004년_Refresh예상금액"/>
      <sheetName val="03년_장비"/>
      <sheetName val="2004년_SK(주)_Refesh_List_2004042"/>
      <sheetName val="NT(DCS)"/>
      <sheetName val="NT(DS)"/>
      <sheetName val="UNIX(DCS)"/>
      <sheetName val="UNIX(DS)"/>
      <sheetName val="분류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Cover"/>
      <sheetName val="100 Series"/>
      <sheetName val="300 Series"/>
      <sheetName val="500 &amp; 700 Series"/>
      <sheetName val="BL Series"/>
      <sheetName val="Option"/>
      <sheetName val="Cluster"/>
      <sheetName val="Oper Amount"/>
      <sheetName val="2000년"/>
      <sheetName val="2001년"/>
      <sheetName val="ISS 9월 가격표"/>
      <sheetName val="설계명세서(선로)"/>
      <sheetName val="Oper_Amount"/>
      <sheetName val="inde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1"/>
      <sheetName val="견적서2"/>
      <sheetName val="사전사후1"/>
      <sheetName val="사전사후2"/>
      <sheetName val="model master"/>
      <sheetName val="price"/>
      <sheetName val="Oper Amount"/>
      <sheetName val="2000년"/>
      <sheetName val="2001년"/>
      <sheetName val="자동견적"/>
      <sheetName val="model_master"/>
      <sheetName val="Oper_Amount"/>
      <sheetName val="DS상세 (2)"/>
      <sheetName val="DS-장비"/>
      <sheetName val="NW-장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"/>
      <sheetName val="2004"/>
      <sheetName val="2005"/>
      <sheetName val="서비스별 적용 마진-종합그래프"/>
      <sheetName val="종합 (사별)"/>
      <sheetName val="To-be(p)"/>
      <sheetName val="As-is(p)"/>
      <sheetName val="As-is(c)"/>
      <sheetName val="MF(3)"/>
      <sheetName val="MF(4)"/>
      <sheetName val="MF(5)"/>
      <sheetName val="HP(3)"/>
      <sheetName val="HP(4)"/>
      <sheetName val="HP(5)"/>
      <sheetName val="HU(3)"/>
      <sheetName val="HU(4)"/>
      <sheetName val="HU(5)"/>
      <sheetName val="HN(3)"/>
      <sheetName val="HN(4)"/>
      <sheetName val="HN(5)"/>
      <sheetName val="ln(3)"/>
      <sheetName val="ln(4)"/>
      <sheetName val="ln(5)"/>
      <sheetName val="pc(3)"/>
      <sheetName val="pc(4)"/>
      <sheetName val="pc(5)"/>
      <sheetName val="종합"/>
      <sheetName val="Dis조정"/>
      <sheetName val="sc조정(사별)"/>
      <sheetName val="SC(3)"/>
      <sheetName val="SC(4)"/>
      <sheetName val="SC(5)"/>
      <sheetName val="NT(3)"/>
      <sheetName val="NT(4)"/>
      <sheetName val="NT(5)"/>
      <sheetName val="UX(3)"/>
      <sheetName val="UX(4)"/>
      <sheetName val="UX(5)"/>
      <sheetName val="PT(NT)"/>
      <sheetName val="PT(UX)"/>
      <sheetName val="Cost조정(PC)"/>
      <sheetName val="Cost조정(NT)"/>
      <sheetName val="Cost조정(UX)"/>
      <sheetName val="Cost조정(LN)"/>
      <sheetName val="Global nt차감"/>
      <sheetName val="Global unix차감"/>
      <sheetName val="Sheet2"/>
      <sheetName val="NT운영단가표"/>
      <sheetName val="SV"/>
      <sheetName val="model master"/>
      <sheetName val="INPUTAREA"/>
      <sheetName val="참고자료"/>
      <sheetName val="price"/>
      <sheetName val="서비스별_적용_마진-종합그래프"/>
      <sheetName val="종합_(사별)"/>
      <sheetName val="Global_nt차감"/>
      <sheetName val="Global_unix차감"/>
      <sheetName val="model_master"/>
      <sheetName val="서비스별_적용_마진-종합그래프1"/>
      <sheetName val="종합_(사별)1"/>
      <sheetName val="Global_nt차감1"/>
      <sheetName val="Global_unix차감1"/>
      <sheetName val="model_master1"/>
      <sheetName val="inputarea_ref"/>
      <sheetName val="NT(DCS)"/>
      <sheetName val="NT(DS)"/>
      <sheetName val="UNIX(DCS)"/>
      <sheetName val="UNIX(DS)"/>
      <sheetName val="DS_3Q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"/>
      <sheetName val="서버종합"/>
      <sheetName val="2_send"/>
      <sheetName val="IBM UX"/>
      <sheetName val="2000"/>
      <sheetName val="2001"/>
      <sheetName val="2002"/>
      <sheetName val="Refresh 계약 금액"/>
      <sheetName val="1999"/>
      <sheetName val="INPUTAREA"/>
      <sheetName val="Sheet2"/>
      <sheetName val="SV"/>
      <sheetName val="OA LIST"/>
      <sheetName val="model master"/>
      <sheetName val="현 본부원(1226)"/>
      <sheetName val="EQT-ESTN"/>
      <sheetName val="Definitions"/>
      <sheetName val="Ring"/>
      <sheetName val="price"/>
      <sheetName val="Oper Amount"/>
      <sheetName val="Edit(01)"/>
      <sheetName val="Index"/>
      <sheetName val="IBM_UX"/>
      <sheetName val="LEAD"/>
      <sheetName val="2000년"/>
      <sheetName val="2001년"/>
      <sheetName val="NT단가표"/>
      <sheetName val="UX단가표"/>
      <sheetName val="외환차손익"/>
      <sheetName val="DS_3Q"/>
      <sheetName val="ds-최종"/>
      <sheetName val="DB"/>
      <sheetName val="퇴충금"/>
      <sheetName val="DS-장비"/>
      <sheetName val="NW-장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er Service Class분류기준"/>
      <sheetName val="Service Class 조사 (종합)"/>
      <sheetName val="Sheet1"/>
      <sheetName val="Service Class 조사 (On-Site)"/>
      <sheetName val="Service Class 조사 (DC)"/>
      <sheetName val="Net-Backup"/>
      <sheetName val="Best1"/>
      <sheetName val="Tivoli"/>
      <sheetName val="SL Master(SKC화학사업부문)"/>
      <sheetName val="SL Master(SKC정보소재사업부문)"/>
      <sheetName val="SL Master(해운)"/>
      <sheetName val="SL Master(SKT)"/>
      <sheetName val="SL Master(케미칼)"/>
      <sheetName val="SL Master(건설)"/>
      <sheetName val="SL Master(SK Corp)"/>
      <sheetName val="SL Master(워커힐)"/>
      <sheetName val="2_send"/>
      <sheetName val="FACTOR"/>
      <sheetName val="IBM UX"/>
      <sheetName val="Definitions"/>
      <sheetName val="Ring"/>
      <sheetName val="price"/>
      <sheetName val="model master"/>
      <sheetName val="Server_Service_Class분류기준"/>
      <sheetName val="Service_Class_조사_(종합)"/>
      <sheetName val="Service_Class_조사_(On-Site)"/>
      <sheetName val="Service_Class_조사_(DC)"/>
      <sheetName val="SL_Master(SKC화학사업부문)"/>
      <sheetName val="SL_Master(SKC정보소재사업부문)"/>
      <sheetName val="SL_Master(해운)"/>
      <sheetName val="SL_Master(SKT)"/>
      <sheetName val="SL_Master(케미칼)"/>
      <sheetName val="SL_Master(건설)"/>
      <sheetName val="SL_Master(SK_Corp)"/>
      <sheetName val="SL_Master(워커힐)"/>
      <sheetName val="IBM_UX"/>
      <sheetName val="model_master"/>
      <sheetName val="Server_Service_Class분류기준1"/>
      <sheetName val="Service_Class_조사_(종합)1"/>
      <sheetName val="Service_Class_조사_(On-Site)1"/>
      <sheetName val="Service_Class_조사_(DC)1"/>
      <sheetName val="SL_Master(SKC화학사업부문)1"/>
      <sheetName val="SL_Master(SKC정보소재사업부문)1"/>
      <sheetName val="SL_Master(해운)1"/>
      <sheetName val="SL_Master(SKT)1"/>
      <sheetName val="SL_Master(케미칼)1"/>
      <sheetName val="SL_Master(건설)1"/>
      <sheetName val="SL_Master(SK_Corp)1"/>
      <sheetName val="SL_Master(워커힐)1"/>
      <sheetName val="IBM_UX1"/>
      <sheetName val="model_master1"/>
      <sheetName val="Oper Amount"/>
    </sheetNames>
    <sheetDataSet>
      <sheetData sheetId="0" refreshError="1"/>
      <sheetData sheetId="1" refreshError="1"/>
      <sheetData sheetId="2">
        <row r="1">
          <cell r="A1" t="str">
            <v>Unix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x"/>
      <sheetName val="Unix단가표"/>
      <sheetName val="NT운영단가표"/>
      <sheetName val="NT"/>
      <sheetName val="2003"/>
      <sheetName val="Sheet1"/>
      <sheetName val="선로분"/>
      <sheetName val="2_send"/>
      <sheetName val="IBM UX"/>
      <sheetName val="Definitions"/>
      <sheetName val="UX단가표"/>
      <sheetName val="FACTOR"/>
      <sheetName val="운영 비용(Infra)-원가"/>
      <sheetName val="Labor Amount"/>
      <sheetName val="IBM_UX"/>
      <sheetName val="운영_비용(Infra)-원가"/>
      <sheetName val="Labor_Amount"/>
      <sheetName val="price"/>
      <sheetName val="inputarea_ref"/>
      <sheetName val="oper amount"/>
      <sheetName val="95년장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"/>
      <sheetName val="서버종합"/>
      <sheetName val="여기부터 -----&gt;참조자료"/>
      <sheetName val="1999년 정산내역 "/>
      <sheetName val="2000년 정산내역"/>
      <sheetName val="2001년 정산내역"/>
      <sheetName val="2002년 정산내역"/>
      <sheetName val="비용 배분내역"/>
      <sheetName val="1999"/>
      <sheetName val="2000"/>
      <sheetName val="2001"/>
      <sheetName val="2002"/>
      <sheetName val="확인요망"/>
      <sheetName val="NT(DCS)"/>
      <sheetName val="NT(DS)"/>
      <sheetName val="UNIX(DCS)"/>
      <sheetName val="UNIX(DS)"/>
      <sheetName val="IBM UX"/>
      <sheetName val="INPUTAREA"/>
      <sheetName val="NT운영단가표"/>
      <sheetName val="Index"/>
      <sheetName val="Unix단가표"/>
      <sheetName val="표준모델"/>
      <sheetName val="price"/>
      <sheetName val="NT통합단가표"/>
      <sheetName val="운영 비용(Infra)-원가"/>
      <sheetName val="xSeries255"/>
      <sheetName val="선로분"/>
      <sheetName val="Sheet1"/>
      <sheetName val="Factor"/>
      <sheetName val="2_send"/>
      <sheetName val="list price"/>
      <sheetName val="20040325"/>
      <sheetName val="여기부터_-----&gt;참조자료"/>
      <sheetName val="1999년_정산내역_"/>
      <sheetName val="2000년_정산내역"/>
      <sheetName val="2001년_정산내역"/>
      <sheetName val="2002년_정산내역"/>
      <sheetName val="비용_배분내역"/>
      <sheetName val="IBM_UX"/>
      <sheetName val="운영_비용(Infra)-원가"/>
      <sheetName val="여기부터_-----&gt;참조자료1"/>
      <sheetName val="1999년_정산내역_1"/>
      <sheetName val="2000년_정산내역1"/>
      <sheetName val="2001년_정산내역1"/>
      <sheetName val="2002년_정산내역1"/>
      <sheetName val="비용_배분내역1"/>
      <sheetName val="IBM_UX1"/>
      <sheetName val="운영_비용(Infra)-원가1"/>
      <sheetName val="list_price"/>
      <sheetName val="model master"/>
      <sheetName val="등급"/>
      <sheetName val="2000년"/>
      <sheetName val="종합(Body산정과정) HP 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B6" t="str">
            <v>서버명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1">
          <cell r="U1" t="str">
            <v>Host명</v>
          </cell>
        </row>
      </sheetData>
      <sheetData sheetId="14">
        <row r="1">
          <cell r="V1" t="str">
            <v>Host명</v>
          </cell>
        </row>
      </sheetData>
      <sheetData sheetId="15">
        <row r="1">
          <cell r="U1" t="str">
            <v>Host명</v>
          </cell>
        </row>
      </sheetData>
      <sheetData sheetId="16">
        <row r="1">
          <cell r="U1" t="str">
            <v>Host명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ssion"/>
      <sheetName val="DASD"/>
      <sheetName val="S390 SW(SKT)"/>
      <sheetName val="PABX"/>
      <sheetName val="NW_weight"/>
      <sheetName val="부록C-2"/>
      <sheetName val="합의서 별첨 (11년)"/>
      <sheetName val="합의서 별첨 (1년)"/>
      <sheetName val="99년 서비스료 산정근거"/>
      <sheetName val="99년 IT 투자비용"/>
      <sheetName val="99년 사용량(1~6월)"/>
      <sheetName val="Baseline_98"/>
      <sheetName val="유지보수현황"/>
      <sheetName val="요율산정"/>
      <sheetName val="Labor Amount"/>
      <sheetName val="Labor Amount(Details)"/>
      <sheetName val="Oper Amount"/>
      <sheetName val="Oper Amount(Details)"/>
      <sheetName val="Acq Amount"/>
      <sheetName val="Mount"/>
      <sheetName val="Acq Amount(Details)"/>
      <sheetName val="Weight"/>
      <sheetName val="세무감사결과자료"/>
      <sheetName val="Ctrl_Panel"/>
      <sheetName val="운영인건비WEIGHT"/>
      <sheetName val="MA"/>
      <sheetName val="Inventory Sum"/>
      <sheetName val="dsum_cond"/>
      <sheetName val="Projection_All"/>
      <sheetName val="Service Space"/>
      <sheetName val="HW_Projection"/>
      <sheetName val="NW_Projection"/>
      <sheetName val="Labor_Projection"/>
      <sheetName val="Item별 현보유량 list"/>
      <sheetName val="통제부(통합)"/>
      <sheetName val="가중치작업"/>
      <sheetName val="Datacenter가중치_backdata"/>
      <sheetName val="서버가중치_backdata"/>
      <sheetName val="PC가중치_backdata"/>
      <sheetName val="Network가중치_backdata"/>
      <sheetName val="9GNG운반"/>
      <sheetName val="가격"/>
      <sheetName val="예정(3)"/>
      <sheetName val="동원(3)"/>
      <sheetName val="Unix단가표"/>
      <sheetName val="INPUTAREA"/>
      <sheetName val="Lists"/>
      <sheetName val="S390_SW(SKT)"/>
      <sheetName val="합의서_별첨_(11년)"/>
      <sheetName val="합의서_별첨_(1년)"/>
      <sheetName val="99년_서비스료_산정근거"/>
      <sheetName val="99년_IT_투자비용"/>
      <sheetName val="99년_사용량(1~6월)"/>
      <sheetName val="Labor_Amount"/>
      <sheetName val="Labor_Amount(Details)"/>
      <sheetName val="Oper_Amount"/>
      <sheetName val="Oper_Amount(Details)"/>
      <sheetName val="Acq_Amount"/>
      <sheetName val="Acq_Amount(Details)"/>
      <sheetName val="Inventory_Sum"/>
      <sheetName val="Service_Space"/>
      <sheetName val="Item별_현보유량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실사조정)총괄"/>
      <sheetName val="실사후분석(내역서단가기준)"/>
      <sheetName val="2000년"/>
      <sheetName val="2001년"/>
      <sheetName val="취합"/>
      <sheetName val="분석"/>
      <sheetName val="Sheet2"/>
      <sheetName val="유효성 검사용 Sheet (삭제금지)"/>
      <sheetName val="내역서"/>
      <sheetName val="상품입고집계"/>
      <sheetName val="계약내역"/>
      <sheetName val="IBM UX"/>
      <sheetName val="XREF"/>
      <sheetName val="_실사조정_총괄"/>
      <sheetName val="KT국사간 전용단계"/>
      <sheetName val="재고list"/>
      <sheetName val="수정시산표"/>
      <sheetName val="연부97-1"/>
      <sheetName val="갑지1"/>
      <sheetName val="인부임"/>
      <sheetName val="비고"/>
      <sheetName val="계약내역.XLS"/>
      <sheetName val="DATE"/>
      <sheetName val="list price"/>
      <sheetName val="내역서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DB"/>
      <sheetName val="9GNG운반"/>
      <sheetName val="노임이"/>
      <sheetName val="노무비"/>
      <sheetName val="총괄표"/>
      <sheetName val="NEW증설1(재작업)"/>
      <sheetName val="현장관리비"/>
      <sheetName val="협조전"/>
      <sheetName val="2월"/>
      <sheetName val="내역서"/>
      <sheetName val="9509"/>
      <sheetName val="(실사조정)총괄"/>
      <sheetName val="직재"/>
      <sheetName val="재집"/>
      <sheetName val="Oper Amount"/>
      <sheetName val="Sheet1"/>
      <sheetName val="SULKEA"/>
      <sheetName val="상반기손익차2총괄"/>
      <sheetName val="Oper_Amount"/>
      <sheetName val="2월가격"/>
      <sheetName val="수목데이타 "/>
    </sheetNames>
    <sheetDataSet>
      <sheetData sheetId="0">
        <row r="5">
          <cell r="B5">
            <v>1</v>
          </cell>
          <cell r="D5" t="str">
            <v>가리봉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(총괄)"/>
      <sheetName val="요금(세부)"/>
      <sheetName val="견적-최종"/>
      <sheetName val="DS-최종"/>
      <sheetName val="NW-최종"/>
      <sheetName val="PC-최종"/>
      <sheetName val="99년 NW 공사비총계"/>
      <sheetName val="Port"/>
      <sheetName val="공사비(프로젝트성)"/>
      <sheetName val="99년 LAN Port집계"/>
      <sheetName val="전원설비"/>
      <sheetName val="UPS(종합)"/>
      <sheetName val="UPS(공사)"/>
      <sheetName val="UPS(내역)"/>
      <sheetName val="UPS(설치)"/>
      <sheetName val="OA교육비"/>
      <sheetName val="99년 ITC-PABX"/>
      <sheetName val="1998년 고객센타"/>
      <sheetName val="1999년 고객센타"/>
      <sheetName val="Oper Amount"/>
      <sheetName val="Supplement2"/>
      <sheetName val="가격결정 상세 - 2000년 예산작업(20.03.28)"/>
      <sheetName val="기성고내역"/>
      <sheetName val="노무비"/>
      <sheetName val="가격"/>
      <sheetName val="95년장비"/>
      <sheetName val="IN"/>
      <sheetName val="99년_NW_공사비총계"/>
      <sheetName val="99년_LAN_Port집계"/>
      <sheetName val="99년_ITC-PABX"/>
      <sheetName val="1998년_고객센타"/>
      <sheetName val="1999년_고객센타"/>
      <sheetName val="Oper_Amount"/>
      <sheetName val="가격결정_상세_-_2000년_예산작업(20_03_28)"/>
      <sheetName val="Sheet1"/>
      <sheetName val="DS상세 (2)"/>
    </sheetNames>
    <sheetDataSet>
      <sheetData sheetId="0"/>
      <sheetData sheetId="1"/>
      <sheetData sheetId="2"/>
      <sheetData sheetId="3" refreshError="1">
        <row r="4">
          <cell r="J4">
            <v>0.13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종합"/>
      <sheetName val="총괄표"/>
      <sheetName val="2000프로젝트별"/>
      <sheetName val="DS_1Q"/>
      <sheetName val="DS_2Q"/>
      <sheetName val="DS_3Q"/>
      <sheetName val="DS_4Q"/>
      <sheetName val="1999프로젝트별"/>
      <sheetName val="DS_1999"/>
      <sheetName val="DBM자산"/>
      <sheetName val="OA보안(Pass-through)"/>
      <sheetName val="감소사용량"/>
      <sheetName val="DS-최종"/>
      <sheetName val="Supplement2"/>
      <sheetName val="2.Distributed System-종합"/>
      <sheetName val="기성고내역"/>
      <sheetName val="노무비"/>
      <sheetName val="2_Distributed_System-종합"/>
    </sheetNames>
    <sheetDataSet>
      <sheetData sheetId="0"/>
      <sheetData sheetId="1"/>
      <sheetData sheetId="2"/>
      <sheetData sheetId="3"/>
      <sheetData sheetId="4" refreshError="1">
        <row r="3">
          <cell r="J3">
            <v>0.1074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"/>
      <sheetName val="표지"/>
      <sheetName val="총괄N"/>
      <sheetName val="견적서 N"/>
      <sheetName val="원가표N"/>
      <sheetName val="N &lt;----&gt; J"/>
      <sheetName val="총괄 J"/>
      <sheetName val="견적서 J"/>
      <sheetName val="원가표 J"/>
      <sheetName val="손익분석"/>
      <sheetName val="DS_2Q"/>
      <sheetName val="SETUP"/>
      <sheetName val="일위대가(가설)"/>
      <sheetName val="안양Toll_1"/>
      <sheetName val="안동과학대학 3"/>
      <sheetName val="면적분포"/>
      <sheetName val="원본(갑지)"/>
      <sheetName val="면적표"/>
      <sheetName val="가격"/>
      <sheetName val="위성"/>
      <sheetName val="산출표"/>
      <sheetName val="추가예산"/>
      <sheetName val="SKC&amp;C월별OI추진실적"/>
      <sheetName val="참조"/>
      <sheetName val="공사기본내용입력"/>
      <sheetName val="유효성체크"/>
      <sheetName val="표준견적서"/>
      <sheetName val="계열사현황종합"/>
      <sheetName val="자재단가"/>
      <sheetName val="연습"/>
      <sheetName val="CHANNEL_DM"/>
      <sheetName val="WS"/>
      <sheetName val="밧데리"/>
      <sheetName val="정류기"/>
      <sheetName val="내역서"/>
      <sheetName val="OPTION"/>
      <sheetName val="LH3 동양시스템"/>
      <sheetName val="개요"/>
      <sheetName val="BACKDATA"/>
      <sheetName val="환율change"/>
      <sheetName val="설치공사비"/>
      <sheetName val="6호기"/>
      <sheetName val="전기단가조사서"/>
      <sheetName val="단위량"/>
      <sheetName val="재료집계표2"/>
      <sheetName val="토적집계표"/>
      <sheetName val="품종별월계"/>
      <sheetName val="N賃率-職"/>
      <sheetName val="2.대외공문"/>
      <sheetName val="을지"/>
      <sheetName val="대치판정"/>
      <sheetName val="VXXXXXXX"/>
      <sheetName val="실행내역서 "/>
      <sheetName val="노임단가"/>
      <sheetName val="유효성 검사용 Sheet (삭제금지)"/>
      <sheetName val="Care"/>
      <sheetName val="OPT"/>
      <sheetName val="내역서1"/>
      <sheetName val="SS"/>
      <sheetName val="실내건축일위대가"/>
      <sheetName val="견적서_N"/>
      <sheetName val="N_&lt;----&gt;_J"/>
      <sheetName val="총괄_J"/>
      <sheetName val="견적서_J"/>
      <sheetName val="원가표_J"/>
      <sheetName val="안동과학대학_3"/>
      <sheetName val="LH3_동양시스템"/>
      <sheetName val="10월가격"/>
      <sheetName val="캔개발배경"/>
      <sheetName val="시장"/>
      <sheetName val="일정표"/>
      <sheetName val="hp5월가격"/>
      <sheetName val="SW-표지"/>
      <sheetName val="계수원본(99.2.28)"/>
      <sheetName val="PBX"/>
      <sheetName val="인원계획-미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im Price"/>
      <sheetName val="inputarea_ref"/>
      <sheetName val="check-price"/>
      <sheetName val="tpibase_adm"/>
      <sheetName val="tpibase"/>
      <sheetName val="tpibase_dc"/>
      <sheetName val="tpibase_dt"/>
      <sheetName val="tpibase_nw"/>
      <sheetName val="98 Budget"/>
      <sheetName val="basecasecal"/>
      <sheetName val="Asset"/>
      <sheetName val="SCOPEDB"/>
      <sheetName val="INPUTAREA"/>
      <sheetName val="기준정보"/>
      <sheetName val="#REF"/>
      <sheetName val="수입"/>
      <sheetName val="INDEX"/>
      <sheetName val="첨부1"/>
      <sheetName val="분석(1.0)"/>
      <sheetName val="유니트입출고내역"/>
      <sheetName val="견적서 N"/>
      <sheetName val="03-Pricing model (sk해운-0927-V2)"/>
      <sheetName val="5. 참고 목록 (출력불필요)"/>
      <sheetName val="DS상세 (2)"/>
      <sheetName val="118.세금과공과"/>
      <sheetName val="2001생산"/>
      <sheetName val="Sim_Price"/>
      <sheetName val="98_Budget"/>
      <sheetName val="분석(1_0)"/>
      <sheetName val="견적서_N"/>
      <sheetName val="03-Pricing_model_(sk해운-0927-V2)"/>
      <sheetName val="5__참고_목록_(출력불필요)"/>
      <sheetName val="DS상세_(2)"/>
      <sheetName val="118_세금과공과"/>
      <sheetName val="Sheet1"/>
      <sheetName val="기계기구"/>
      <sheetName val="기초코드"/>
      <sheetName val="2.대외공문"/>
      <sheetName val="차량(구)"/>
      <sheetName val="면적표"/>
      <sheetName val="년령분석표(02년)"/>
      <sheetName val="지역별"/>
      <sheetName val="Sim_Price1"/>
      <sheetName val="98_Budget1"/>
      <sheetName val="첨부11-Factor"/>
      <sheetName val="FTE"/>
      <sheetName val="서버별 백업"/>
      <sheetName val="공문"/>
    </sheetNames>
    <sheetDataSet>
      <sheetData sheetId="0"/>
      <sheetData sheetId="1"/>
      <sheetData sheetId="2" refreshError="1">
        <row r="5">
          <cell r="R5">
            <v>0.13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  <sheetName val="유효성 검사용 Sheet(삭제금지)"/>
      <sheetName val="YUNJH5"/>
      <sheetName val="INPUTAREA"/>
      <sheetName val="inputarea_ref"/>
      <sheetName val="2000년"/>
      <sheetName val="유효성 검사용 Sheet (삭제금지)"/>
      <sheetName val="견적서 N"/>
      <sheetName val="분석(1.0)"/>
      <sheetName val="ppm상수"/>
      <sheetName val="산출0"/>
      <sheetName val="일위목록"/>
      <sheetName val="요율"/>
      <sheetName val="노임단가표"/>
      <sheetName val="유니트입출고내역"/>
      <sheetName val="3.&quot;전송망&quot;운용설비"/>
      <sheetName val="수량산출서"/>
      <sheetName val="건축내역"/>
      <sheetName val="Sheet5"/>
      <sheetName val="257A1"/>
      <sheetName val="5. 참고 목록 (출력불필요)"/>
      <sheetName val="유효성_검사용_Sheet(삭제금지)"/>
      <sheetName val="유효성_검사용_Sheet_(삭제금지)"/>
      <sheetName val="견적서_N"/>
      <sheetName val="분석(1_0)"/>
      <sheetName val="3_&quot;전송망&quot;운용설비"/>
      <sheetName val="5__참고_목록_(출력불필요)"/>
      <sheetName val="실행(1)"/>
      <sheetName val="백암비스타내역"/>
      <sheetName val="전체"/>
      <sheetName val="4.전기"/>
      <sheetName val="공사비산출내역"/>
      <sheetName val="현장관리비참조"/>
      <sheetName val="단가대비표"/>
      <sheetName val="Sheet2"/>
      <sheetName val="전기일위목록"/>
      <sheetName val="직접비"/>
      <sheetName val="품셈적용"/>
      <sheetName val="#REF"/>
      <sheetName val="일위대가"/>
      <sheetName val="단가조사-1"/>
      <sheetName val="spc 배관견적"/>
      <sheetName val="RE9604"/>
      <sheetName val="설계(안)"/>
      <sheetName val="증감내역서"/>
      <sheetName val="건축2"/>
      <sheetName val="터파기및재료"/>
      <sheetName val="Y-WORK"/>
      <sheetName val="1,2공구원가계산서"/>
      <sheetName val="일위CODE"/>
      <sheetName val="집계표"/>
      <sheetName val="1공구산출내역서"/>
      <sheetName val="갑지"/>
      <sheetName val="Sheet1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9"/>
  <sheetViews>
    <sheetView showGridLines="0" tabSelected="1" view="pageBreakPreview" zoomScaleNormal="89" zoomScaleSheetLayoutView="100" workbookViewId="0">
      <selection activeCell="D7" sqref="D7"/>
    </sheetView>
  </sheetViews>
  <sheetFormatPr defaultRowHeight="13.5"/>
  <cols>
    <col min="1" max="1" width="1.375" style="14" customWidth="1"/>
    <col min="2" max="2" width="11.625" style="14" customWidth="1"/>
    <col min="3" max="3" width="32.625" style="14" customWidth="1"/>
    <col min="4" max="4" width="47.5" style="14" customWidth="1"/>
    <col min="5" max="5" width="6.125" style="14" customWidth="1"/>
    <col min="6" max="7" width="15.625" style="14" customWidth="1"/>
    <col min="8" max="8" width="53.375" style="14" customWidth="1"/>
    <col min="9" max="9" width="1.375" style="14" customWidth="1"/>
    <col min="10" max="16384" width="9" style="14"/>
  </cols>
  <sheetData>
    <row r="2" spans="2:8" ht="33.75">
      <c r="B2" s="118" t="s">
        <v>10</v>
      </c>
      <c r="C2" s="118"/>
      <c r="D2" s="118"/>
      <c r="E2" s="118"/>
      <c r="F2" s="118"/>
      <c r="G2" s="118"/>
      <c r="H2" s="118"/>
    </row>
    <row r="3" spans="2:8" ht="33.75">
      <c r="B3" s="15"/>
      <c r="C3" s="15"/>
      <c r="D3" s="15"/>
      <c r="E3" s="15"/>
      <c r="F3" s="15"/>
      <c r="G3" s="15"/>
      <c r="H3" s="15"/>
    </row>
    <row r="5" spans="2:8">
      <c r="G5" s="16"/>
      <c r="H5" s="16"/>
    </row>
    <row r="6" spans="2:8" ht="18" customHeight="1">
      <c r="B6" s="17" t="s">
        <v>80</v>
      </c>
      <c r="C6" s="17"/>
      <c r="D6" s="17"/>
      <c r="E6" s="119" t="s">
        <v>11</v>
      </c>
      <c r="F6" s="18" t="s">
        <v>12</v>
      </c>
      <c r="G6" s="122" t="s">
        <v>13</v>
      </c>
      <c r="H6" s="123"/>
    </row>
    <row r="7" spans="2:8" ht="18" customHeight="1">
      <c r="B7" s="17" t="s">
        <v>14</v>
      </c>
      <c r="C7" s="17"/>
      <c r="D7" s="17"/>
      <c r="E7" s="120"/>
      <c r="F7" s="18" t="s">
        <v>15</v>
      </c>
      <c r="G7" s="122" t="s">
        <v>16</v>
      </c>
      <c r="H7" s="123"/>
    </row>
    <row r="8" spans="2:8" ht="18" customHeight="1">
      <c r="B8" s="17" t="s">
        <v>87</v>
      </c>
      <c r="C8" s="17"/>
      <c r="D8" s="17"/>
      <c r="E8" s="120"/>
      <c r="F8" s="18" t="s">
        <v>17</v>
      </c>
      <c r="G8" s="122" t="s">
        <v>88</v>
      </c>
      <c r="H8" s="123"/>
    </row>
    <row r="9" spans="2:8" ht="18" customHeight="1">
      <c r="B9" s="17" t="s">
        <v>18</v>
      </c>
      <c r="C9" s="17"/>
      <c r="D9" s="17"/>
      <c r="E9" s="120"/>
      <c r="F9" s="18" t="s">
        <v>19</v>
      </c>
      <c r="G9" s="122" t="s">
        <v>20</v>
      </c>
      <c r="H9" s="123"/>
    </row>
    <row r="10" spans="2:8" ht="18" customHeight="1">
      <c r="B10" s="17" t="s">
        <v>21</v>
      </c>
      <c r="C10" s="17"/>
      <c r="D10" s="17"/>
      <c r="E10" s="120"/>
      <c r="F10" s="18" t="s">
        <v>22</v>
      </c>
      <c r="G10" s="122" t="s">
        <v>23</v>
      </c>
      <c r="H10" s="123"/>
    </row>
    <row r="11" spans="2:8" ht="18" customHeight="1">
      <c r="B11" s="17"/>
      <c r="C11" s="17"/>
      <c r="D11" s="17"/>
      <c r="E11" s="121"/>
      <c r="F11" s="18" t="s">
        <v>24</v>
      </c>
      <c r="G11" s="122" t="s">
        <v>25</v>
      </c>
      <c r="H11" s="123"/>
    </row>
    <row r="13" spans="2:8">
      <c r="F13" s="37"/>
    </row>
    <row r="14" spans="2:8" ht="19.5" customHeight="1">
      <c r="B14" s="29" t="s">
        <v>26</v>
      </c>
      <c r="C14" s="29" t="s">
        <v>89</v>
      </c>
      <c r="D14" s="17"/>
      <c r="E14" s="17"/>
      <c r="F14" s="38"/>
      <c r="G14" s="78"/>
      <c r="H14" s="19" t="s">
        <v>27</v>
      </c>
    </row>
    <row r="15" spans="2:8" s="17" customFormat="1" ht="30.75" customHeight="1">
      <c r="B15" s="34" t="s">
        <v>0</v>
      </c>
      <c r="C15" s="115" t="s">
        <v>1</v>
      </c>
      <c r="D15" s="115"/>
      <c r="E15" s="35" t="s">
        <v>28</v>
      </c>
      <c r="F15" s="35" t="s">
        <v>40</v>
      </c>
      <c r="G15" s="35" t="s">
        <v>29</v>
      </c>
      <c r="H15" s="34" t="s">
        <v>2</v>
      </c>
    </row>
    <row r="16" spans="2:8" s="17" customFormat="1" ht="30.75" customHeight="1">
      <c r="B16" s="112" t="s">
        <v>32</v>
      </c>
      <c r="C16" s="23" t="s">
        <v>45</v>
      </c>
      <c r="D16" s="20" t="s">
        <v>30</v>
      </c>
      <c r="E16" s="30">
        <v>12</v>
      </c>
      <c r="F16" s="21">
        <f>'Azure Resource'!K19</f>
        <v>1861465.32</v>
      </c>
      <c r="G16" s="21">
        <f>F16*E16</f>
        <v>22337583.84</v>
      </c>
      <c r="H16" s="116" t="s">
        <v>68</v>
      </c>
    </row>
    <row r="17" spans="1:9" s="17" customFormat="1" ht="30.75" customHeight="1">
      <c r="B17" s="113"/>
      <c r="C17" s="23" t="s">
        <v>71</v>
      </c>
      <c r="D17" s="20" t="s">
        <v>30</v>
      </c>
      <c r="E17" s="30">
        <v>12</v>
      </c>
      <c r="F17" s="21">
        <f>'Azure Resource'!K24</f>
        <v>0</v>
      </c>
      <c r="G17" s="21">
        <f t="shared" ref="G17:G19" si="0">F17*E17</f>
        <v>0</v>
      </c>
      <c r="H17" s="117"/>
    </row>
    <row r="18" spans="1:9" s="17" customFormat="1" ht="30.75" customHeight="1">
      <c r="B18" s="113"/>
      <c r="C18" s="23" t="s">
        <v>60</v>
      </c>
      <c r="D18" s="20" t="s">
        <v>30</v>
      </c>
      <c r="E18" s="30">
        <v>12</v>
      </c>
      <c r="F18" s="21">
        <f>'Azure Resource'!K26</f>
        <v>0</v>
      </c>
      <c r="G18" s="21">
        <f t="shared" si="0"/>
        <v>0</v>
      </c>
      <c r="H18" s="64"/>
    </row>
    <row r="19" spans="1:9" s="17" customFormat="1" ht="30.75" customHeight="1">
      <c r="B19" s="114"/>
      <c r="C19" s="23" t="s">
        <v>41</v>
      </c>
      <c r="D19" s="20" t="s">
        <v>44</v>
      </c>
      <c r="E19" s="30">
        <v>12</v>
      </c>
      <c r="F19" s="21">
        <f>SUM(F16:F17)*0.095</f>
        <v>176839.20540000001</v>
      </c>
      <c r="G19" s="21">
        <f t="shared" si="0"/>
        <v>2122070.4648000002</v>
      </c>
      <c r="H19" s="39"/>
    </row>
    <row r="20" spans="1:9" s="17" customFormat="1" ht="30.75" customHeight="1">
      <c r="B20" s="106" t="s">
        <v>33</v>
      </c>
      <c r="C20" s="106"/>
      <c r="D20" s="106"/>
      <c r="E20" s="106"/>
      <c r="F20" s="22">
        <f>ROUNDDOWN(SUM(F16:F19),-3)</f>
        <v>2038000</v>
      </c>
      <c r="G20" s="22">
        <f>ROUNDDOWN(SUM(G16:G19),-3)</f>
        <v>24459000</v>
      </c>
      <c r="H20" s="32"/>
    </row>
    <row r="21" spans="1:9" customFormat="1" ht="30.75" customHeight="1">
      <c r="A21" s="17"/>
      <c r="B21" s="112" t="s">
        <v>67</v>
      </c>
      <c r="C21" s="65" t="s">
        <v>66</v>
      </c>
      <c r="D21" s="65" t="s">
        <v>63</v>
      </c>
      <c r="E21" s="30">
        <v>12</v>
      </c>
      <c r="F21" s="21">
        <f>SUM(F16:F17)*0.21</f>
        <v>390907.71720000001</v>
      </c>
      <c r="G21" s="21">
        <f>F21*E21</f>
        <v>4690892.6063999999</v>
      </c>
      <c r="H21" s="71"/>
      <c r="I21" s="45"/>
    </row>
    <row r="22" spans="1:9" customFormat="1" ht="30.75" customHeight="1">
      <c r="A22" s="17"/>
      <c r="B22" s="113"/>
      <c r="C22" s="65" t="s">
        <v>64</v>
      </c>
      <c r="D22" s="65" t="s">
        <v>65</v>
      </c>
      <c r="E22" s="30">
        <v>12</v>
      </c>
      <c r="F22" s="21">
        <f>SUM(F16:F17)*0.07</f>
        <v>130302.57240000002</v>
      </c>
      <c r="G22" s="21">
        <f>F22*E22</f>
        <v>1563630.8688000003</v>
      </c>
      <c r="H22" s="46"/>
      <c r="I22" s="45"/>
    </row>
    <row r="23" spans="1:9" s="17" customFormat="1" ht="24">
      <c r="B23" s="114"/>
      <c r="C23" s="65" t="s">
        <v>61</v>
      </c>
      <c r="D23" s="65" t="s">
        <v>62</v>
      </c>
      <c r="E23" s="30">
        <v>12</v>
      </c>
      <c r="F23" s="21">
        <f>(170000*0)+(40000*0)</f>
        <v>0</v>
      </c>
      <c r="G23" s="21">
        <f>F23*E23</f>
        <v>0</v>
      </c>
      <c r="H23" s="72" t="s">
        <v>86</v>
      </c>
    </row>
    <row r="24" spans="1:9" s="17" customFormat="1" ht="30.75" customHeight="1">
      <c r="B24" s="106" t="s">
        <v>34</v>
      </c>
      <c r="C24" s="106"/>
      <c r="D24" s="106"/>
      <c r="E24" s="106"/>
      <c r="F24" s="22">
        <f>ROUNDDOWN(SUM(F21:F23),-3)</f>
        <v>521000</v>
      </c>
      <c r="G24" s="22">
        <f>ROUNDDOWN(SUM(G21:G23),-3)</f>
        <v>6254000</v>
      </c>
      <c r="H24" s="31"/>
    </row>
    <row r="25" spans="1:9" ht="24" customHeight="1">
      <c r="A25" s="17"/>
      <c r="B25" s="107" t="s">
        <v>35</v>
      </c>
      <c r="C25" s="108"/>
      <c r="D25" s="108"/>
      <c r="E25" s="108"/>
      <c r="F25" s="108"/>
      <c r="G25" s="108"/>
      <c r="H25" s="109"/>
    </row>
    <row r="26" spans="1:9" s="17" customFormat="1" ht="23.25" customHeight="1">
      <c r="B26" s="110" t="s">
        <v>69</v>
      </c>
      <c r="C26" s="110"/>
      <c r="D26" s="110"/>
      <c r="E26" s="110"/>
      <c r="F26" s="67">
        <f>SUM(F20,F24)</f>
        <v>2559000</v>
      </c>
      <c r="G26" s="67">
        <f>SUM(G20,G24)</f>
        <v>30713000</v>
      </c>
      <c r="H26" s="66"/>
    </row>
    <row r="27" spans="1:9" ht="23.25" customHeight="1">
      <c r="B27" s="111" t="s">
        <v>70</v>
      </c>
      <c r="C27" s="111"/>
      <c r="D27" s="111"/>
      <c r="E27" s="111"/>
      <c r="F27" s="68">
        <f>F26</f>
        <v>2559000</v>
      </c>
      <c r="G27" s="68">
        <f>G26</f>
        <v>30713000</v>
      </c>
      <c r="H27" s="69"/>
    </row>
    <row r="28" spans="1:9" ht="21" customHeight="1">
      <c r="B28" s="29" t="s">
        <v>31</v>
      </c>
      <c r="C28" s="25"/>
      <c r="D28" s="25"/>
      <c r="E28" s="25"/>
      <c r="F28" s="25"/>
      <c r="G28" s="26"/>
      <c r="H28" s="27"/>
    </row>
    <row r="29" spans="1:9" s="28" customFormat="1" ht="15" customHeight="1">
      <c r="B29" s="36" t="s">
        <v>39</v>
      </c>
      <c r="C29" s="25"/>
      <c r="D29" s="25"/>
      <c r="E29" s="25"/>
      <c r="F29" s="25"/>
      <c r="G29" s="26"/>
      <c r="H29" s="27"/>
    </row>
  </sheetData>
  <mergeCells count="17">
    <mergeCell ref="C15:D15"/>
    <mergeCell ref="B20:E20"/>
    <mergeCell ref="B16:B19"/>
    <mergeCell ref="H16:H17"/>
    <mergeCell ref="B2:H2"/>
    <mergeCell ref="E6:E11"/>
    <mergeCell ref="G6:H6"/>
    <mergeCell ref="G7:H7"/>
    <mergeCell ref="G8:H8"/>
    <mergeCell ref="G9:H9"/>
    <mergeCell ref="G10:H10"/>
    <mergeCell ref="G11:H11"/>
    <mergeCell ref="B24:E24"/>
    <mergeCell ref="B25:H25"/>
    <mergeCell ref="B26:E26"/>
    <mergeCell ref="B27:E27"/>
    <mergeCell ref="B21:B23"/>
  </mergeCells>
  <phoneticPr fontId="3" type="noConversion"/>
  <pageMargins left="0.44" right="0.38" top="0.93" bottom="0.75" header="0.3" footer="0.3"/>
  <pageSetup paperSize="9" scale="4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60"/>
  <sheetViews>
    <sheetView showGridLines="0" topLeftCell="A10" zoomScaleNormal="100" workbookViewId="0">
      <selection activeCell="K19" sqref="K19"/>
    </sheetView>
  </sheetViews>
  <sheetFormatPr defaultRowHeight="16.5"/>
  <cols>
    <col min="1" max="1" width="1.625" style="9" customWidth="1"/>
    <col min="2" max="2" width="11.625" customWidth="1"/>
    <col min="3" max="3" width="32.875" customWidth="1"/>
    <col min="4" max="4" width="24.125" customWidth="1"/>
    <col min="5" max="5" width="26.375" customWidth="1"/>
    <col min="6" max="6" width="44.25" customWidth="1"/>
    <col min="7" max="7" width="6.25" customWidth="1"/>
    <col min="8" max="8" width="5.875" customWidth="1"/>
    <col min="9" max="10" width="12.875" customWidth="1"/>
    <col min="11" max="11" width="15.125" customWidth="1"/>
    <col min="12" max="12" width="59.125" customWidth="1"/>
    <col min="13" max="13" width="1.625" style="9" customWidth="1"/>
    <col min="14" max="23" width="9" style="9"/>
  </cols>
  <sheetData>
    <row r="1" spans="2:12" s="9" customFormat="1"/>
    <row r="2" spans="2:12" ht="26.25">
      <c r="B2" s="40" t="s">
        <v>90</v>
      </c>
      <c r="C2" s="40"/>
      <c r="D2" s="40"/>
      <c r="E2" s="40"/>
      <c r="F2" s="43"/>
      <c r="G2" s="1"/>
      <c r="H2" s="1"/>
      <c r="I2" s="1"/>
      <c r="J2" s="2"/>
      <c r="K2" s="1"/>
      <c r="L2" s="1"/>
    </row>
    <row r="3" spans="2:12" ht="14.25" customHeight="1">
      <c r="B3" s="29"/>
      <c r="C3" s="3"/>
      <c r="D3" s="3"/>
      <c r="E3" s="3"/>
      <c r="F3" s="1"/>
      <c r="G3" s="1"/>
      <c r="H3" s="1"/>
      <c r="I3" s="1"/>
      <c r="J3" s="1"/>
      <c r="K3" s="4" t="s">
        <v>3</v>
      </c>
      <c r="L3" s="1"/>
    </row>
    <row r="4" spans="2:12" ht="14.25" customHeight="1" thickBot="1">
      <c r="B4" s="1"/>
      <c r="C4" s="5"/>
      <c r="D4" s="5"/>
      <c r="E4" s="5"/>
      <c r="F4" s="5"/>
      <c r="G4" s="6"/>
      <c r="H4" s="1"/>
      <c r="I4" s="1"/>
      <c r="J4" s="12"/>
      <c r="K4" s="11">
        <v>1430</v>
      </c>
      <c r="L4" s="1"/>
    </row>
    <row r="5" spans="2:12" ht="16.5" customHeight="1">
      <c r="B5" s="131" t="s">
        <v>9</v>
      </c>
      <c r="C5" s="133" t="s">
        <v>1</v>
      </c>
      <c r="D5" s="134"/>
      <c r="E5" s="134"/>
      <c r="F5" s="134"/>
      <c r="G5" s="133" t="s">
        <v>4</v>
      </c>
      <c r="H5" s="136" t="s">
        <v>5</v>
      </c>
      <c r="I5" s="138" t="s">
        <v>36</v>
      </c>
      <c r="J5" s="138" t="s">
        <v>37</v>
      </c>
      <c r="K5" s="138" t="s">
        <v>38</v>
      </c>
      <c r="L5" s="140" t="s">
        <v>2</v>
      </c>
    </row>
    <row r="6" spans="2:12" ht="17.25" thickBot="1">
      <c r="B6" s="132"/>
      <c r="C6" s="7" t="s">
        <v>6</v>
      </c>
      <c r="D6" s="142" t="s">
        <v>7</v>
      </c>
      <c r="E6" s="142"/>
      <c r="F6" s="143"/>
      <c r="G6" s="135"/>
      <c r="H6" s="137"/>
      <c r="I6" s="139"/>
      <c r="J6" s="144"/>
      <c r="K6" s="144"/>
      <c r="L6" s="141"/>
    </row>
    <row r="7" spans="2:12" s="2" customFormat="1" ht="27" customHeight="1">
      <c r="B7" s="124" t="s">
        <v>46</v>
      </c>
      <c r="C7" s="127" t="s">
        <v>91</v>
      </c>
      <c r="D7" s="79" t="s">
        <v>81</v>
      </c>
      <c r="E7" s="79" t="s">
        <v>81</v>
      </c>
      <c r="F7" s="80" t="s">
        <v>96</v>
      </c>
      <c r="G7" s="105">
        <v>1</v>
      </c>
      <c r="H7" s="81" t="s">
        <v>8</v>
      </c>
      <c r="I7" s="82">
        <v>354.16</v>
      </c>
      <c r="J7" s="83">
        <f>I7*$K$4*$G$7</f>
        <v>506448.80000000005</v>
      </c>
      <c r="K7" s="70">
        <f>J7*(1-10%)</f>
        <v>455803.92000000004</v>
      </c>
      <c r="L7" s="84"/>
    </row>
    <row r="8" spans="2:12" s="9" customFormat="1" ht="23.25" customHeight="1">
      <c r="B8" s="125"/>
      <c r="C8" s="126"/>
      <c r="D8" s="91" t="s">
        <v>73</v>
      </c>
      <c r="E8" s="102" t="s">
        <v>54</v>
      </c>
      <c r="F8" s="103" t="s">
        <v>82</v>
      </c>
      <c r="G8" s="87">
        <v>1</v>
      </c>
      <c r="H8" s="73" t="s">
        <v>8</v>
      </c>
      <c r="I8" s="74">
        <v>129.94</v>
      </c>
      <c r="J8" s="90">
        <f>I8*$K$4*$G$8</f>
        <v>185814.19999999998</v>
      </c>
      <c r="K8" s="70">
        <f t="shared" ref="K8:K10" si="0">J8*(1-10%)</f>
        <v>167232.78</v>
      </c>
      <c r="L8" s="75"/>
    </row>
    <row r="9" spans="2:12" s="2" customFormat="1" ht="81">
      <c r="B9" s="125"/>
      <c r="C9" s="126"/>
      <c r="D9" s="93" t="s">
        <v>42</v>
      </c>
      <c r="E9" s="85" t="s">
        <v>83</v>
      </c>
      <c r="F9" s="86" t="s">
        <v>84</v>
      </c>
      <c r="G9" s="87">
        <v>1</v>
      </c>
      <c r="H9" s="88" t="s">
        <v>8</v>
      </c>
      <c r="I9" s="89">
        <v>27.33</v>
      </c>
      <c r="J9" s="94">
        <f>I9*$K$4*$G$9</f>
        <v>39081.899999999994</v>
      </c>
      <c r="K9" s="70">
        <f t="shared" si="0"/>
        <v>35173.71</v>
      </c>
      <c r="L9" s="92"/>
    </row>
    <row r="10" spans="2:12" s="2" customFormat="1" ht="17.25" thickBot="1">
      <c r="B10" s="125"/>
      <c r="C10" s="128"/>
      <c r="D10" s="97" t="s">
        <v>92</v>
      </c>
      <c r="E10" s="96" t="s">
        <v>93</v>
      </c>
      <c r="F10" s="98" t="s">
        <v>97</v>
      </c>
      <c r="G10" s="87">
        <v>1</v>
      </c>
      <c r="H10" s="99" t="s">
        <v>8</v>
      </c>
      <c r="I10" s="100">
        <v>23.25</v>
      </c>
      <c r="J10" s="95">
        <f>I10*$K$4*$G$10</f>
        <v>33247.5</v>
      </c>
      <c r="K10" s="104">
        <f t="shared" si="0"/>
        <v>29922.75</v>
      </c>
      <c r="L10" s="101"/>
    </row>
    <row r="11" spans="2:12" s="2" customFormat="1" ht="27" customHeight="1">
      <c r="B11" s="125"/>
      <c r="C11" s="127" t="s">
        <v>94</v>
      </c>
      <c r="D11" s="79" t="s">
        <v>81</v>
      </c>
      <c r="E11" s="79" t="s">
        <v>81</v>
      </c>
      <c r="F11" s="80" t="s">
        <v>96</v>
      </c>
      <c r="G11" s="105">
        <v>1</v>
      </c>
      <c r="H11" s="81" t="s">
        <v>8</v>
      </c>
      <c r="I11" s="82">
        <v>354.16</v>
      </c>
      <c r="J11" s="83">
        <f>I11*$K$4*$G$7</f>
        <v>506448.80000000005</v>
      </c>
      <c r="K11" s="70">
        <f>J11*(1-10%)</f>
        <v>455803.92000000004</v>
      </c>
      <c r="L11" s="84"/>
    </row>
    <row r="12" spans="2:12" s="9" customFormat="1" ht="23.25" customHeight="1">
      <c r="B12" s="125"/>
      <c r="C12" s="126"/>
      <c r="D12" s="91" t="s">
        <v>73</v>
      </c>
      <c r="E12" s="102" t="s">
        <v>54</v>
      </c>
      <c r="F12" s="103" t="s">
        <v>85</v>
      </c>
      <c r="G12" s="87">
        <v>1</v>
      </c>
      <c r="H12" s="73" t="s">
        <v>8</v>
      </c>
      <c r="I12" s="74">
        <v>51.1</v>
      </c>
      <c r="J12" s="90">
        <f>I12*$K$4*$G$8</f>
        <v>73073</v>
      </c>
      <c r="K12" s="70">
        <f t="shared" ref="K12:K14" si="1">J12*(1-10%)</f>
        <v>65765.7</v>
      </c>
      <c r="L12" s="75"/>
    </row>
    <row r="13" spans="2:12" s="2" customFormat="1" ht="81">
      <c r="B13" s="125"/>
      <c r="C13" s="126"/>
      <c r="D13" s="93" t="s">
        <v>42</v>
      </c>
      <c r="E13" s="85" t="s">
        <v>83</v>
      </c>
      <c r="F13" s="86" t="s">
        <v>84</v>
      </c>
      <c r="G13" s="87">
        <v>1</v>
      </c>
      <c r="H13" s="88" t="s">
        <v>8</v>
      </c>
      <c r="I13" s="89">
        <v>27.33</v>
      </c>
      <c r="J13" s="94">
        <f>I13*$K$4*$G$9</f>
        <v>39081.899999999994</v>
      </c>
      <c r="K13" s="70">
        <f t="shared" si="1"/>
        <v>35173.71</v>
      </c>
      <c r="L13" s="92"/>
    </row>
    <row r="14" spans="2:12" s="2" customFormat="1" ht="17.25" thickBot="1">
      <c r="B14" s="125"/>
      <c r="C14" s="128"/>
      <c r="D14" s="97" t="s">
        <v>92</v>
      </c>
      <c r="E14" s="96" t="s">
        <v>93</v>
      </c>
      <c r="F14" s="98" t="s">
        <v>97</v>
      </c>
      <c r="G14" s="87">
        <v>1</v>
      </c>
      <c r="H14" s="99" t="s">
        <v>8</v>
      </c>
      <c r="I14" s="100">
        <v>23.25</v>
      </c>
      <c r="J14" s="95">
        <f>I14*$K$4*$G$10</f>
        <v>33247.5</v>
      </c>
      <c r="K14" s="104">
        <f t="shared" si="1"/>
        <v>29922.75</v>
      </c>
      <c r="L14" s="101"/>
    </row>
    <row r="15" spans="2:12" s="2" customFormat="1" ht="27" customHeight="1">
      <c r="B15" s="125"/>
      <c r="C15" s="127" t="s">
        <v>95</v>
      </c>
      <c r="D15" s="79" t="s">
        <v>81</v>
      </c>
      <c r="E15" s="79" t="s">
        <v>81</v>
      </c>
      <c r="F15" s="80" t="s">
        <v>96</v>
      </c>
      <c r="G15" s="105">
        <v>1</v>
      </c>
      <c r="H15" s="81" t="s">
        <v>8</v>
      </c>
      <c r="I15" s="82">
        <v>354.16</v>
      </c>
      <c r="J15" s="83">
        <f>I15*$K$4*$G$7</f>
        <v>506448.80000000005</v>
      </c>
      <c r="K15" s="70">
        <f>J15*(1-10%)</f>
        <v>455803.92000000004</v>
      </c>
      <c r="L15" s="84"/>
    </row>
    <row r="16" spans="2:12" s="9" customFormat="1" ht="23.25" customHeight="1">
      <c r="B16" s="125"/>
      <c r="C16" s="126"/>
      <c r="D16" s="91" t="s">
        <v>73</v>
      </c>
      <c r="E16" s="102" t="s">
        <v>54</v>
      </c>
      <c r="F16" s="103" t="s">
        <v>85</v>
      </c>
      <c r="G16" s="87">
        <v>1</v>
      </c>
      <c r="H16" s="73" t="s">
        <v>8</v>
      </c>
      <c r="I16" s="74">
        <v>51.1</v>
      </c>
      <c r="J16" s="90">
        <f>I16*$K$4*$G$8</f>
        <v>73073</v>
      </c>
      <c r="K16" s="70">
        <f t="shared" ref="K16:K18" si="2">J16*(1-10%)</f>
        <v>65765.7</v>
      </c>
      <c r="L16" s="75"/>
    </row>
    <row r="17" spans="2:12" s="2" customFormat="1" ht="81">
      <c r="B17" s="125"/>
      <c r="C17" s="126"/>
      <c r="D17" s="93" t="s">
        <v>42</v>
      </c>
      <c r="E17" s="85" t="s">
        <v>83</v>
      </c>
      <c r="F17" s="86" t="s">
        <v>84</v>
      </c>
      <c r="G17" s="87">
        <v>1</v>
      </c>
      <c r="H17" s="88" t="s">
        <v>8</v>
      </c>
      <c r="I17" s="89">
        <v>27.33</v>
      </c>
      <c r="J17" s="94">
        <f>I17*$K$4*$G$9</f>
        <v>39081.899999999994</v>
      </c>
      <c r="K17" s="70">
        <f t="shared" si="2"/>
        <v>35173.71</v>
      </c>
      <c r="L17" s="92"/>
    </row>
    <row r="18" spans="2:12" s="2" customFormat="1" ht="17.25" thickBot="1">
      <c r="B18" s="167"/>
      <c r="C18" s="128"/>
      <c r="D18" s="97" t="s">
        <v>92</v>
      </c>
      <c r="E18" s="96" t="s">
        <v>93</v>
      </c>
      <c r="F18" s="98" t="s">
        <v>97</v>
      </c>
      <c r="G18" s="87">
        <v>1</v>
      </c>
      <c r="H18" s="99" t="s">
        <v>8</v>
      </c>
      <c r="I18" s="100">
        <v>23.25</v>
      </c>
      <c r="J18" s="95">
        <f>I18*$K$4*$G$10</f>
        <v>33247.5</v>
      </c>
      <c r="K18" s="70">
        <f t="shared" si="2"/>
        <v>29922.75</v>
      </c>
      <c r="L18" s="101"/>
    </row>
    <row r="19" spans="2:12" s="9" customFormat="1" ht="26.25" customHeight="1" thickBot="1">
      <c r="B19" s="145" t="s">
        <v>47</v>
      </c>
      <c r="C19" s="146"/>
      <c r="D19" s="146"/>
      <c r="E19" s="146"/>
      <c r="F19" s="146"/>
      <c r="G19" s="146"/>
      <c r="H19" s="146"/>
      <c r="I19" s="146"/>
      <c r="J19" s="146"/>
      <c r="K19" s="8">
        <f>SUM(K7:K18)</f>
        <v>1861465.32</v>
      </c>
      <c r="L19" s="33"/>
    </row>
    <row r="20" spans="2:12" s="9" customFormat="1" ht="26.25" hidden="1" customHeight="1">
      <c r="B20" s="124" t="s">
        <v>78</v>
      </c>
      <c r="C20" s="151" t="s">
        <v>55</v>
      </c>
      <c r="D20" s="159" t="s">
        <v>56</v>
      </c>
      <c r="E20" s="58" t="s">
        <v>54</v>
      </c>
      <c r="F20" s="56" t="s">
        <v>74</v>
      </c>
      <c r="G20" s="160"/>
      <c r="H20" s="160" t="s">
        <v>8</v>
      </c>
      <c r="I20" s="164">
        <v>176.44</v>
      </c>
      <c r="J20" s="153">
        <f>I20*$K$4*G20</f>
        <v>0</v>
      </c>
      <c r="K20" s="153">
        <f>J20*(1-10%)</f>
        <v>0</v>
      </c>
      <c r="L20" s="156"/>
    </row>
    <row r="21" spans="2:12" s="9" customFormat="1" ht="26.25" hidden="1" customHeight="1">
      <c r="B21" s="125"/>
      <c r="C21" s="151"/>
      <c r="D21" s="129"/>
      <c r="E21" s="59" t="s">
        <v>57</v>
      </c>
      <c r="F21" s="57" t="s">
        <v>75</v>
      </c>
      <c r="G21" s="161"/>
      <c r="H21" s="161"/>
      <c r="I21" s="165"/>
      <c r="J21" s="154"/>
      <c r="K21" s="154"/>
      <c r="L21" s="157"/>
    </row>
    <row r="22" spans="2:12" s="9" customFormat="1" ht="26.25" hidden="1" customHeight="1">
      <c r="B22" s="125"/>
      <c r="C22" s="151"/>
      <c r="D22" s="129"/>
      <c r="E22" s="59" t="s">
        <v>58</v>
      </c>
      <c r="F22" s="57" t="s">
        <v>76</v>
      </c>
      <c r="G22" s="161"/>
      <c r="H22" s="161"/>
      <c r="I22" s="165"/>
      <c r="J22" s="154"/>
      <c r="K22" s="154"/>
      <c r="L22" s="157"/>
    </row>
    <row r="23" spans="2:12" s="9" customFormat="1" ht="26.25" hidden="1" customHeight="1" thickBot="1">
      <c r="B23" s="125"/>
      <c r="C23" s="152"/>
      <c r="D23" s="130"/>
      <c r="E23" s="60" t="s">
        <v>59</v>
      </c>
      <c r="F23" s="77" t="s">
        <v>77</v>
      </c>
      <c r="G23" s="162"/>
      <c r="H23" s="162"/>
      <c r="I23" s="166"/>
      <c r="J23" s="155"/>
      <c r="K23" s="155"/>
      <c r="L23" s="158"/>
    </row>
    <row r="24" spans="2:12" s="9" customFormat="1" ht="26.25" hidden="1" customHeight="1" thickBot="1">
      <c r="B24" s="145" t="s">
        <v>72</v>
      </c>
      <c r="C24" s="146"/>
      <c r="D24" s="146"/>
      <c r="E24" s="146"/>
      <c r="F24" s="146"/>
      <c r="G24" s="163"/>
      <c r="H24" s="163"/>
      <c r="I24" s="163"/>
      <c r="J24" s="163"/>
      <c r="K24" s="76">
        <f>SUM(K20:K23)</f>
        <v>0</v>
      </c>
      <c r="L24" s="33"/>
    </row>
    <row r="25" spans="2:12" s="9" customFormat="1" ht="26.25" hidden="1" customHeight="1" thickBot="1">
      <c r="B25" s="47" t="s">
        <v>48</v>
      </c>
      <c r="C25" s="61" t="s">
        <v>49</v>
      </c>
      <c r="D25" s="62" t="s">
        <v>50</v>
      </c>
      <c r="E25" s="63" t="s">
        <v>51</v>
      </c>
      <c r="F25" s="48" t="s">
        <v>52</v>
      </c>
      <c r="G25" s="49"/>
      <c r="H25" s="49" t="s">
        <v>8</v>
      </c>
      <c r="I25" s="50">
        <v>15</v>
      </c>
      <c r="J25" s="51">
        <f>I25*$K$4*G25</f>
        <v>0</v>
      </c>
      <c r="K25" s="55">
        <f>J25</f>
        <v>0</v>
      </c>
      <c r="L25" s="52"/>
    </row>
    <row r="26" spans="2:12" s="9" customFormat="1" ht="26.25" hidden="1" customHeight="1" thickBot="1">
      <c r="B26" s="149" t="s">
        <v>53</v>
      </c>
      <c r="C26" s="150"/>
      <c r="D26" s="150"/>
      <c r="E26" s="150"/>
      <c r="F26" s="150"/>
      <c r="G26" s="150"/>
      <c r="H26" s="150"/>
      <c r="I26" s="150"/>
      <c r="J26" s="150"/>
      <c r="K26" s="53">
        <f>SUM(K25:K25)</f>
        <v>0</v>
      </c>
      <c r="L26" s="54"/>
    </row>
    <row r="27" spans="2:12" s="9" customFormat="1" ht="26.25" customHeight="1" thickBot="1">
      <c r="B27" s="147" t="s">
        <v>79</v>
      </c>
      <c r="C27" s="148"/>
      <c r="D27" s="148"/>
      <c r="E27" s="148"/>
      <c r="F27" s="148"/>
      <c r="G27" s="148"/>
      <c r="H27" s="148"/>
      <c r="I27" s="148"/>
      <c r="J27" s="148"/>
      <c r="K27" s="13">
        <f>SUM(K19,K24,K26)</f>
        <v>1861465.32</v>
      </c>
      <c r="L27" s="10"/>
    </row>
    <row r="28" spans="2:12" s="9" customFormat="1"/>
    <row r="29" spans="2:12" s="14" customFormat="1" ht="21" customHeight="1">
      <c r="B29" s="24" t="s">
        <v>31</v>
      </c>
      <c r="C29" s="25"/>
      <c r="D29" s="25"/>
      <c r="E29" s="25"/>
      <c r="F29" s="25"/>
      <c r="G29" s="26"/>
      <c r="H29" s="27"/>
    </row>
    <row r="30" spans="2:12" s="28" customFormat="1" ht="15" customHeight="1">
      <c r="B30" s="44" t="s">
        <v>98</v>
      </c>
      <c r="C30" s="25"/>
      <c r="D30" s="25"/>
      <c r="E30" s="25"/>
      <c r="F30" s="25"/>
      <c r="G30" s="26"/>
      <c r="H30" s="27"/>
    </row>
    <row r="31" spans="2:12" s="14" customFormat="1" ht="13.5">
      <c r="B31" s="44" t="s">
        <v>43</v>
      </c>
    </row>
    <row r="32" spans="2:12" s="9" customFormat="1"/>
    <row r="33" spans="1:5" s="9" customFormat="1"/>
    <row r="34" spans="1:5" s="42" customFormat="1" ht="16.5" customHeight="1">
      <c r="A34" s="41"/>
      <c r="B34" s="9"/>
      <c r="C34" s="9"/>
      <c r="D34" s="9"/>
      <c r="E34" s="9"/>
    </row>
    <row r="35" spans="1:5" s="42" customFormat="1">
      <c r="A35" s="41"/>
      <c r="B35"/>
      <c r="C35" s="9"/>
      <c r="D35" s="9"/>
      <c r="E35" s="9"/>
    </row>
    <row r="36" spans="1:5" s="42" customFormat="1">
      <c r="A36" s="41"/>
      <c r="B36" s="9"/>
      <c r="C36" s="9"/>
      <c r="D36" s="9"/>
      <c r="E36" s="9"/>
    </row>
    <row r="37" spans="1:5" s="42" customFormat="1">
      <c r="A37" s="41"/>
      <c r="B37" s="9"/>
      <c r="C37" s="9"/>
      <c r="D37" s="9"/>
      <c r="E37" s="9"/>
    </row>
    <row r="38" spans="1:5" s="42" customFormat="1">
      <c r="A38" s="41"/>
      <c r="B38" s="9"/>
      <c r="C38" s="9"/>
      <c r="D38" s="9"/>
      <c r="E38" s="9"/>
    </row>
    <row r="39" spans="1:5" s="42" customFormat="1">
      <c r="A39" s="41"/>
      <c r="B39" s="9"/>
      <c r="C39" s="9"/>
      <c r="D39" s="9"/>
      <c r="E39" s="9"/>
    </row>
    <row r="40" spans="1:5" s="42" customFormat="1">
      <c r="A40" s="41"/>
      <c r="B40" s="9"/>
      <c r="C40" s="9"/>
      <c r="D40" s="9"/>
      <c r="E40" s="9"/>
    </row>
    <row r="41" spans="1:5" s="42" customFormat="1">
      <c r="A41" s="41"/>
      <c r="B41" s="9"/>
      <c r="C41" s="9"/>
      <c r="D41" s="9"/>
      <c r="E41" s="9"/>
    </row>
    <row r="42" spans="1:5" s="42" customFormat="1">
      <c r="A42" s="41"/>
      <c r="B42" s="9"/>
      <c r="C42" s="9"/>
      <c r="D42" s="9"/>
      <c r="E42" s="9"/>
    </row>
    <row r="43" spans="1:5" s="9" customFormat="1"/>
    <row r="44" spans="1:5" s="9" customFormat="1"/>
    <row r="45" spans="1:5" s="9" customFormat="1"/>
    <row r="46" spans="1:5" s="9" customFormat="1"/>
    <row r="47" spans="1:5" s="9" customFormat="1"/>
    <row r="48" spans="1:5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  <row r="60" s="9" customFormat="1"/>
  </sheetData>
  <mergeCells count="26">
    <mergeCell ref="L20:L23"/>
    <mergeCell ref="D20:D23"/>
    <mergeCell ref="G20:G23"/>
    <mergeCell ref="B24:J24"/>
    <mergeCell ref="B20:B23"/>
    <mergeCell ref="H20:H23"/>
    <mergeCell ref="I20:I23"/>
    <mergeCell ref="J20:J23"/>
    <mergeCell ref="B19:J19"/>
    <mergeCell ref="B27:J27"/>
    <mergeCell ref="B26:J26"/>
    <mergeCell ref="C20:C23"/>
    <mergeCell ref="K20:K23"/>
    <mergeCell ref="B5:B6"/>
    <mergeCell ref="C5:F5"/>
    <mergeCell ref="G5:G6"/>
    <mergeCell ref="H5:H6"/>
    <mergeCell ref="I5:I6"/>
    <mergeCell ref="L5:L6"/>
    <mergeCell ref="D6:F6"/>
    <mergeCell ref="K5:K6"/>
    <mergeCell ref="J5:J6"/>
    <mergeCell ref="C7:C10"/>
    <mergeCell ref="C11:C14"/>
    <mergeCell ref="C15:C18"/>
    <mergeCell ref="B7:B18"/>
  </mergeCells>
  <phoneticPr fontId="3" type="noConversion"/>
  <pageMargins left="0.7" right="0.7" top="0.75" bottom="0.75" header="0.3" footer="0.3"/>
  <pageSetup paperSize="9" scale="4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722c7a-c613-4ea9-8d6c-421621450052" xsi:nil="true"/>
    <lcf76f155ced4ddcb4097134ff3c332f xmlns="f51e37fc-4c9a-434a-a6ba-a67f2d5a5bc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817ED5821E1E448E887E6DA7F64A7B" ma:contentTypeVersion="18" ma:contentTypeDescription="Create a new document." ma:contentTypeScope="" ma:versionID="63b40f5ef9aeba20501430e75b1a2765">
  <xsd:schema xmlns:xsd="http://www.w3.org/2001/XMLSchema" xmlns:xs="http://www.w3.org/2001/XMLSchema" xmlns:p="http://schemas.microsoft.com/office/2006/metadata/properties" xmlns:ns2="f51e37fc-4c9a-434a-a6ba-a67f2d5a5bc8" xmlns:ns3="cd722c7a-c613-4ea9-8d6c-421621450052" targetNamespace="http://schemas.microsoft.com/office/2006/metadata/properties" ma:root="true" ma:fieldsID="599a33e2743ba9cac1d6ed99a9e3afed" ns2:_="" ns3:_="">
    <xsd:import namespace="f51e37fc-4c9a-434a-a6ba-a67f2d5a5bc8"/>
    <xsd:import namespace="cd722c7a-c613-4ea9-8d6c-421621450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e37fc-4c9a-434a-a6ba-a67f2d5a5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5702a04-5a8d-4e22-8fc9-754da5c84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22c7a-c613-4ea9-8d6c-42162145005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0309f67-9570-4006-abd8-02d93609a107}" ma:internalName="TaxCatchAll" ma:showField="CatchAllData" ma:web="cd722c7a-c613-4ea9-8d6c-421621450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9E0BA-E8DE-425B-BB37-4949027589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F8985E-E7C1-40F7-BEED-6ECD3440293E}">
  <ds:schemaRefs>
    <ds:schemaRef ds:uri="http://purl.org/dc/elements/1.1/"/>
    <ds:schemaRef ds:uri="http://purl.org/dc/terms/"/>
    <ds:schemaRef ds:uri="f51e37fc-4c9a-434a-a6ba-a67f2d5a5bc8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cd722c7a-c613-4ea9-8d6c-421621450052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CEDB6E-1C52-4937-9BE9-991FF0773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매출견적서</vt:lpstr>
      <vt:lpstr>Azure Resource</vt:lpstr>
      <vt:lpstr>'Azure Resource'!Print_Area</vt:lpstr>
      <vt:lpstr>매출견적서!Print_Area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안소정(AnSojeong)/Cloud Transformation그룹/SK</dc:creator>
  <cp:lastModifiedBy>신성식(SHIN Sungshik)/제조Cloud PM팀/SK</cp:lastModifiedBy>
  <cp:lastPrinted>2021-05-12T05:57:39Z</cp:lastPrinted>
  <dcterms:created xsi:type="dcterms:W3CDTF">2020-11-23T05:17:12Z</dcterms:created>
  <dcterms:modified xsi:type="dcterms:W3CDTF">2026-01-06T06:04:47Z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0x010100E0817ED5821E1E448E887E6DA7F64A7B</vt:lpwstr>
  </property>
  <property fmtid="{D5CDD505-2E9C-101B-9397-08002B2CF9AE}" pid="3" name="MediaServiceImageTags">
    <vt:lpwstr/>
  </property>
</Properties>
</file>